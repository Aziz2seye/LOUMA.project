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5530" windowHeight="7050"/>
  </bookViews>
  <sheets>
    <sheet name=" BILAN LOUMA PHASE1 SIM&amp;OM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8" i="1" l="1"/>
  <c r="R18" i="1"/>
  <c r="T18" i="1" s="1"/>
  <c r="R17" i="1"/>
  <c r="T17" i="1" s="1"/>
  <c r="R16" i="1"/>
  <c r="T16" i="1" s="1"/>
  <c r="R15" i="1"/>
  <c r="T15" i="1" s="1"/>
  <c r="R14" i="1"/>
  <c r="T14" i="1" s="1"/>
  <c r="R13" i="1"/>
  <c r="T13" i="1" s="1"/>
  <c r="R12" i="1"/>
  <c r="T12" i="1" s="1"/>
</calcChain>
</file>

<file path=xl/sharedStrings.xml><?xml version="1.0" encoding="utf-8"?>
<sst xmlns="http://schemas.openxmlformats.org/spreadsheetml/2006/main" count="57" uniqueCount="34">
  <si>
    <t>DR</t>
  </si>
  <si>
    <t>M1</t>
  </si>
  <si>
    <t>M2</t>
  </si>
  <si>
    <t>M3</t>
  </si>
  <si>
    <t>M4</t>
  </si>
  <si>
    <t>TOT</t>
  </si>
  <si>
    <t>OBJ</t>
  </si>
  <si>
    <t>TR (%)</t>
  </si>
  <si>
    <t>DR2</t>
  </si>
  <si>
    <t>DRC</t>
  </si>
  <si>
    <t>DRE</t>
  </si>
  <si>
    <t>DRN</t>
  </si>
  <si>
    <t>DRS</t>
  </si>
  <si>
    <t>DRSE</t>
  </si>
  <si>
    <t>TOT SIMS</t>
  </si>
  <si>
    <t xml:space="preserve">BILAN DES REALISATIONS SIM </t>
  </si>
  <si>
    <t>96.2%</t>
  </si>
  <si>
    <t>91.7%</t>
  </si>
  <si>
    <t>61.5%</t>
  </si>
  <si>
    <t>75.0%</t>
  </si>
  <si>
    <t>39.4%</t>
  </si>
  <si>
    <t>19.1%</t>
  </si>
  <si>
    <t>62.4%</t>
  </si>
  <si>
    <t>BILAN DES REALISATIONS OM</t>
  </si>
  <si>
    <t>TOT OM</t>
  </si>
  <si>
    <t>M5</t>
  </si>
  <si>
    <t xml:space="preserve">BILAN DES REALISATIONS SIM - JUILLET </t>
  </si>
  <si>
    <t>SEM1</t>
  </si>
  <si>
    <t>SEM2</t>
  </si>
  <si>
    <t>SEM3</t>
  </si>
  <si>
    <t>SEM4</t>
  </si>
  <si>
    <t>TR</t>
  </si>
  <si>
    <t>TOTAL</t>
  </si>
  <si>
    <t xml:space="preserve">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</si>
</sst>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20"/>
      <color theme="1"/>
      <name val="Arial Black"/>
      <family val="2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6"/>
      <color theme="1"/>
      <name val="Calibri"/>
      <family val="2"/>
      <scheme val="minor"/>
    </font>
    <font>
      <b/>
      <sz val="11"/>
      <color rgb="FF000000"/>
      <name val="Times New Roman"/>
      <family val="1"/>
    </font>
    <font>
      <b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9" fontId="7" fillId="6" borderId="1" xfId="1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23"/>
  <sheetViews>
    <sheetView tabSelected="1" topLeftCell="E2" workbookViewId="0">
      <selection activeCell="L5" sqref="L5"/>
    </sheetView>
  </sheetViews>
  <sheetFormatPr baseColWidth="10" defaultRowHeight="14.5" x14ac:dyDescent="0.35"/>
  <sheetData>
    <row r="1" spans="2:20" ht="14.5" customHeight="1" x14ac:dyDescent="0.35">
      <c r="B1" s="4" t="s">
        <v>15</v>
      </c>
      <c r="C1" s="4"/>
      <c r="D1" s="4"/>
      <c r="E1" s="4"/>
      <c r="F1" s="4"/>
      <c r="G1" s="4"/>
      <c r="H1" s="4"/>
      <c r="I1" s="4"/>
      <c r="J1" s="4"/>
    </row>
    <row r="2" spans="2:20" ht="14.5" customHeight="1" x14ac:dyDescent="0.35">
      <c r="B2" s="5"/>
      <c r="C2" s="5"/>
      <c r="D2" s="5"/>
      <c r="E2" s="5"/>
      <c r="F2" s="5"/>
      <c r="G2" s="5"/>
      <c r="H2" s="5"/>
      <c r="I2" s="5"/>
      <c r="J2" s="5"/>
    </row>
    <row r="3" spans="2:20" x14ac:dyDescent="0.3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25</v>
      </c>
      <c r="H3" s="1" t="s">
        <v>5</v>
      </c>
      <c r="I3" s="1" t="s">
        <v>6</v>
      </c>
      <c r="J3" s="1" t="s">
        <v>7</v>
      </c>
    </row>
    <row r="4" spans="2:20" x14ac:dyDescent="0.35">
      <c r="B4" s="2" t="s">
        <v>8</v>
      </c>
      <c r="C4" s="2">
        <v>0</v>
      </c>
      <c r="D4" s="2">
        <v>1461</v>
      </c>
      <c r="E4" s="2">
        <v>1654</v>
      </c>
      <c r="F4" s="2">
        <v>1272</v>
      </c>
      <c r="G4" s="2">
        <v>1402</v>
      </c>
      <c r="H4" s="2">
        <v>4387</v>
      </c>
      <c r="I4" s="2">
        <v>2880</v>
      </c>
      <c r="J4" s="3">
        <v>1.52</v>
      </c>
    </row>
    <row r="5" spans="2:20" x14ac:dyDescent="0.35">
      <c r="B5" s="2" t="s">
        <v>9</v>
      </c>
      <c r="C5" s="2">
        <v>1017</v>
      </c>
      <c r="D5" s="2">
        <v>1529</v>
      </c>
      <c r="E5" s="2">
        <v>1736</v>
      </c>
      <c r="F5" s="2">
        <v>1009</v>
      </c>
      <c r="G5" s="2"/>
      <c r="H5" s="2">
        <v>5291</v>
      </c>
      <c r="I5" s="2">
        <v>3800</v>
      </c>
      <c r="J5" s="3">
        <v>1.39</v>
      </c>
    </row>
    <row r="6" spans="2:20" x14ac:dyDescent="0.35">
      <c r="B6" s="2" t="s">
        <v>10</v>
      </c>
      <c r="C6" s="2">
        <v>1026</v>
      </c>
      <c r="D6" s="2">
        <v>1421</v>
      </c>
      <c r="E6" s="2">
        <v>1533</v>
      </c>
      <c r="F6" s="2">
        <v>1056</v>
      </c>
      <c r="G6" s="2"/>
      <c r="H6" s="2">
        <v>5036</v>
      </c>
      <c r="I6" s="2">
        <v>3800</v>
      </c>
      <c r="J6" s="3">
        <v>1.32</v>
      </c>
      <c r="S6" t="s">
        <v>33</v>
      </c>
    </row>
    <row r="7" spans="2:20" x14ac:dyDescent="0.35">
      <c r="B7" s="2" t="s">
        <v>11</v>
      </c>
      <c r="C7" s="2">
        <v>513</v>
      </c>
      <c r="D7" s="2">
        <v>1166</v>
      </c>
      <c r="E7" s="2">
        <v>1286</v>
      </c>
      <c r="F7" s="2">
        <v>995</v>
      </c>
      <c r="G7" s="2"/>
      <c r="H7" s="2">
        <v>3960</v>
      </c>
      <c r="I7" s="2">
        <v>3800</v>
      </c>
      <c r="J7" s="3">
        <v>1.04</v>
      </c>
    </row>
    <row r="8" spans="2:20" x14ac:dyDescent="0.35">
      <c r="B8" s="2" t="s">
        <v>12</v>
      </c>
      <c r="C8" s="2">
        <v>595</v>
      </c>
      <c r="D8" s="2">
        <v>1182</v>
      </c>
      <c r="E8" s="2">
        <v>1503</v>
      </c>
      <c r="F8" s="2">
        <v>1054</v>
      </c>
      <c r="G8" s="2"/>
      <c r="H8" s="2">
        <v>4334</v>
      </c>
      <c r="I8" s="2">
        <v>3800</v>
      </c>
      <c r="J8" s="3">
        <v>1.1399999999999999</v>
      </c>
    </row>
    <row r="9" spans="2:20" x14ac:dyDescent="0.35">
      <c r="B9" s="2" t="s">
        <v>13</v>
      </c>
      <c r="C9" s="2">
        <v>527</v>
      </c>
      <c r="D9" s="2">
        <v>1057</v>
      </c>
      <c r="E9" s="2">
        <v>1051</v>
      </c>
      <c r="F9" s="2">
        <v>731</v>
      </c>
      <c r="G9" s="2"/>
      <c r="H9" s="2">
        <v>3366</v>
      </c>
      <c r="I9" s="2">
        <v>3800</v>
      </c>
      <c r="J9" s="3">
        <v>0.89</v>
      </c>
    </row>
    <row r="10" spans="2:20" ht="21" x14ac:dyDescent="0.5">
      <c r="B10" s="2" t="s">
        <v>14</v>
      </c>
      <c r="C10" s="2">
        <v>3678</v>
      </c>
      <c r="D10" s="2">
        <v>7816</v>
      </c>
      <c r="E10" s="2">
        <v>8763</v>
      </c>
      <c r="F10" s="2">
        <v>6117</v>
      </c>
      <c r="G10" s="2"/>
      <c r="H10" s="2">
        <v>26374</v>
      </c>
      <c r="I10" s="2">
        <v>21880</v>
      </c>
      <c r="J10" s="3">
        <v>1.21</v>
      </c>
      <c r="M10" s="9" t="s">
        <v>26</v>
      </c>
      <c r="N10" s="9"/>
      <c r="O10" s="9"/>
      <c r="P10" s="9"/>
      <c r="Q10" s="9"/>
      <c r="R10" s="9"/>
      <c r="S10" s="9"/>
      <c r="T10" s="9"/>
    </row>
    <row r="11" spans="2:20" x14ac:dyDescent="0.35">
      <c r="M11" s="10" t="s">
        <v>0</v>
      </c>
      <c r="N11" s="10" t="s">
        <v>27</v>
      </c>
      <c r="O11" s="10" t="s">
        <v>28</v>
      </c>
      <c r="P11" s="10" t="s">
        <v>29</v>
      </c>
      <c r="Q11" s="10" t="s">
        <v>30</v>
      </c>
      <c r="R11" s="10" t="s">
        <v>5</v>
      </c>
      <c r="S11" s="10" t="s">
        <v>6</v>
      </c>
      <c r="T11" s="10" t="s">
        <v>31</v>
      </c>
    </row>
    <row r="12" spans="2:20" x14ac:dyDescent="0.35">
      <c r="M12" s="8" t="s">
        <v>8</v>
      </c>
      <c r="N12" s="8">
        <v>569</v>
      </c>
      <c r="O12" s="8">
        <v>299</v>
      </c>
      <c r="P12" s="8">
        <v>301</v>
      </c>
      <c r="Q12" s="8">
        <v>233</v>
      </c>
      <c r="R12" s="8">
        <f t="shared" ref="R12:R18" si="0">SUM(N12:Q12)</f>
        <v>1402</v>
      </c>
      <c r="S12" s="8">
        <v>960</v>
      </c>
      <c r="T12" s="11">
        <f>R12/S12</f>
        <v>1.4604166666666667</v>
      </c>
    </row>
    <row r="13" spans="2:20" x14ac:dyDescent="0.35">
      <c r="M13" s="8" t="s">
        <v>9</v>
      </c>
      <c r="N13" s="8">
        <v>230</v>
      </c>
      <c r="O13" s="8">
        <v>225</v>
      </c>
      <c r="P13" s="8">
        <v>240</v>
      </c>
      <c r="Q13" s="8">
        <v>261</v>
      </c>
      <c r="R13" s="8">
        <f t="shared" si="0"/>
        <v>956</v>
      </c>
      <c r="S13" s="8">
        <v>960</v>
      </c>
      <c r="T13" s="11">
        <f>R13/S13</f>
        <v>0.99583333333333335</v>
      </c>
    </row>
    <row r="14" spans="2:20" x14ac:dyDescent="0.35">
      <c r="B14" s="6" t="s">
        <v>23</v>
      </c>
      <c r="C14" s="6"/>
      <c r="D14" s="6"/>
      <c r="E14" s="6"/>
      <c r="F14" s="6"/>
      <c r="G14" s="6"/>
      <c r="H14" s="6"/>
      <c r="I14" s="6"/>
      <c r="J14" s="6"/>
      <c r="M14" s="8" t="s">
        <v>10</v>
      </c>
      <c r="N14" s="8">
        <v>356</v>
      </c>
      <c r="O14" s="8">
        <v>275</v>
      </c>
      <c r="P14" s="8">
        <v>318</v>
      </c>
      <c r="Q14" s="8">
        <v>236</v>
      </c>
      <c r="R14" s="8">
        <f t="shared" si="0"/>
        <v>1185</v>
      </c>
      <c r="S14" s="8">
        <v>960</v>
      </c>
      <c r="T14" s="11">
        <f>R14/S14</f>
        <v>1.234375</v>
      </c>
    </row>
    <row r="15" spans="2:20" x14ac:dyDescent="0.35">
      <c r="B15" s="7"/>
      <c r="C15" s="7"/>
      <c r="D15" s="7"/>
      <c r="E15" s="7"/>
      <c r="F15" s="7"/>
      <c r="G15" s="7"/>
      <c r="H15" s="7"/>
      <c r="I15" s="7"/>
      <c r="J15" s="7"/>
      <c r="M15" s="8" t="s">
        <v>11</v>
      </c>
      <c r="N15" s="8">
        <v>182</v>
      </c>
      <c r="O15" s="8">
        <v>296</v>
      </c>
      <c r="P15" s="8">
        <v>215</v>
      </c>
      <c r="Q15" s="8">
        <v>248</v>
      </c>
      <c r="R15" s="8">
        <f t="shared" si="0"/>
        <v>941</v>
      </c>
      <c r="S15" s="8">
        <v>960</v>
      </c>
      <c r="T15" s="12">
        <f>+R15/S15</f>
        <v>0.98020833333333335</v>
      </c>
    </row>
    <row r="16" spans="2:20" ht="14.5" customHeight="1" x14ac:dyDescent="0.35">
      <c r="B16" s="1" t="s">
        <v>0</v>
      </c>
      <c r="C16" s="1" t="s">
        <v>1</v>
      </c>
      <c r="D16" s="1" t="s">
        <v>2</v>
      </c>
      <c r="E16" s="1" t="s">
        <v>3</v>
      </c>
      <c r="F16" s="1" t="s">
        <v>4</v>
      </c>
      <c r="G16" s="1"/>
      <c r="H16" s="1" t="s">
        <v>5</v>
      </c>
      <c r="I16" s="1" t="s">
        <v>6</v>
      </c>
      <c r="J16" s="1" t="s">
        <v>7</v>
      </c>
      <c r="M16" s="8" t="s">
        <v>12</v>
      </c>
      <c r="N16" s="8">
        <v>287</v>
      </c>
      <c r="O16" s="8">
        <v>313</v>
      </c>
      <c r="P16" s="8">
        <v>304</v>
      </c>
      <c r="Q16" s="8">
        <v>257</v>
      </c>
      <c r="R16" s="8">
        <f t="shared" si="0"/>
        <v>1161</v>
      </c>
      <c r="S16" s="8">
        <v>960</v>
      </c>
      <c r="T16" s="11">
        <f>+R16/S16</f>
        <v>1.2093750000000001</v>
      </c>
    </row>
    <row r="17" spans="2:20" x14ac:dyDescent="0.35">
      <c r="B17" s="2" t="s">
        <v>8</v>
      </c>
      <c r="C17" s="2">
        <v>0</v>
      </c>
      <c r="D17" s="2">
        <v>1099</v>
      </c>
      <c r="E17" s="2">
        <v>200</v>
      </c>
      <c r="F17" s="2">
        <v>86</v>
      </c>
      <c r="G17" s="2"/>
      <c r="H17" s="2">
        <v>1385</v>
      </c>
      <c r="I17" s="2">
        <v>1440</v>
      </c>
      <c r="J17" s="3" t="s">
        <v>16</v>
      </c>
      <c r="M17" s="8" t="s">
        <v>13</v>
      </c>
      <c r="N17" s="8">
        <v>238</v>
      </c>
      <c r="O17" s="8">
        <v>255</v>
      </c>
      <c r="P17" s="8">
        <v>209</v>
      </c>
      <c r="Q17" s="8">
        <v>257</v>
      </c>
      <c r="R17" s="8">
        <f t="shared" si="0"/>
        <v>959</v>
      </c>
      <c r="S17" s="8">
        <v>960</v>
      </c>
      <c r="T17" s="11">
        <f>+R17/S17</f>
        <v>0.99895833333333328</v>
      </c>
    </row>
    <row r="18" spans="2:20" x14ac:dyDescent="0.35">
      <c r="B18" s="2" t="s">
        <v>9</v>
      </c>
      <c r="C18" s="2">
        <v>473</v>
      </c>
      <c r="D18" s="2">
        <v>753</v>
      </c>
      <c r="E18" s="2">
        <v>349</v>
      </c>
      <c r="F18" s="2">
        <v>185</v>
      </c>
      <c r="G18" s="2"/>
      <c r="H18" s="2">
        <v>1760</v>
      </c>
      <c r="I18" s="2">
        <v>1920</v>
      </c>
      <c r="J18" s="3" t="s">
        <v>17</v>
      </c>
      <c r="M18" s="10" t="s">
        <v>32</v>
      </c>
      <c r="N18" s="10">
        <v>1862</v>
      </c>
      <c r="O18" s="10">
        <v>1663</v>
      </c>
      <c r="P18" s="10">
        <v>1587</v>
      </c>
      <c r="Q18" s="8">
        <v>1492</v>
      </c>
      <c r="R18" s="8">
        <f t="shared" si="0"/>
        <v>6604</v>
      </c>
      <c r="S18" s="8">
        <f>SUM(S12:S17)</f>
        <v>5760</v>
      </c>
      <c r="T18" s="13">
        <f>+R18/S18</f>
        <v>1.1465277777777778</v>
      </c>
    </row>
    <row r="19" spans="2:20" x14ac:dyDescent="0.35">
      <c r="B19" s="2" t="s">
        <v>10</v>
      </c>
      <c r="C19" s="2">
        <v>526</v>
      </c>
      <c r="D19" s="2">
        <v>308</v>
      </c>
      <c r="E19" s="2">
        <v>220</v>
      </c>
      <c r="F19" s="2">
        <v>127</v>
      </c>
      <c r="G19" s="2"/>
      <c r="H19" s="2">
        <v>1181</v>
      </c>
      <c r="I19" s="2">
        <v>1920</v>
      </c>
      <c r="J19" s="3" t="s">
        <v>18</v>
      </c>
    </row>
    <row r="20" spans="2:20" x14ac:dyDescent="0.35">
      <c r="B20" s="2" t="s">
        <v>11</v>
      </c>
      <c r="C20" s="2">
        <v>630</v>
      </c>
      <c r="D20" s="2">
        <v>556</v>
      </c>
      <c r="E20" s="2">
        <v>131</v>
      </c>
      <c r="F20" s="2">
        <v>123</v>
      </c>
      <c r="G20" s="2"/>
      <c r="H20" s="2">
        <v>1440</v>
      </c>
      <c r="I20" s="2">
        <v>1920</v>
      </c>
      <c r="J20" s="3" t="s">
        <v>19</v>
      </c>
    </row>
    <row r="21" spans="2:20" x14ac:dyDescent="0.35">
      <c r="B21" s="2" t="s">
        <v>12</v>
      </c>
      <c r="C21" s="2">
        <v>557</v>
      </c>
      <c r="D21" s="2">
        <v>180</v>
      </c>
      <c r="E21" s="2">
        <v>10</v>
      </c>
      <c r="F21" s="2">
        <v>10</v>
      </c>
      <c r="G21" s="2"/>
      <c r="H21" s="2">
        <v>757</v>
      </c>
      <c r="I21" s="2">
        <v>1920</v>
      </c>
      <c r="J21" s="3" t="s">
        <v>20</v>
      </c>
    </row>
    <row r="22" spans="2:20" x14ac:dyDescent="0.35">
      <c r="B22" s="2" t="s">
        <v>13</v>
      </c>
      <c r="C22" s="2">
        <v>283</v>
      </c>
      <c r="D22" s="2">
        <v>77</v>
      </c>
      <c r="E22" s="2">
        <v>3</v>
      </c>
      <c r="F22" s="2">
        <v>3</v>
      </c>
      <c r="G22" s="2"/>
      <c r="H22" s="2">
        <v>366</v>
      </c>
      <c r="I22" s="2">
        <v>1920</v>
      </c>
      <c r="J22" s="3" t="s">
        <v>21</v>
      </c>
    </row>
    <row r="23" spans="2:20" x14ac:dyDescent="0.35">
      <c r="B23" s="2" t="s">
        <v>24</v>
      </c>
      <c r="C23" s="2">
        <v>2469</v>
      </c>
      <c r="D23" s="2">
        <v>2973</v>
      </c>
      <c r="E23" s="2">
        <v>913</v>
      </c>
      <c r="F23" s="2">
        <v>534</v>
      </c>
      <c r="G23" s="2"/>
      <c r="H23" s="2">
        <v>6889</v>
      </c>
      <c r="I23" s="2">
        <v>11040</v>
      </c>
      <c r="J23" s="3" t="s">
        <v>22</v>
      </c>
    </row>
  </sheetData>
  <mergeCells count="3">
    <mergeCell ref="B1:J2"/>
    <mergeCell ref="B14:J15"/>
    <mergeCell ref="M10:T10"/>
  </mergeCells>
  <pageMargins left="0.7" right="0.7" top="0.75" bottom="0.75" header="0.3" footer="0.3"/>
  <pageSetup paperSize="9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 BILAN LOUMA PHASE1 SIM&amp;OM'!C3:C3</xm:f>
              <xm:sqref>C3</xm:sqref>
            </x14:sparkline>
            <x14:sparkline>
              <xm:f>' BILAN LOUMA PHASE1 SIM&amp;OM'!D3:D3</xm:f>
              <xm:sqref>D3</xm:sqref>
            </x14:sparkline>
            <x14:sparkline>
              <xm:f>' BILAN LOUMA PHASE1 SIM&amp;OM'!E3:E3</xm:f>
              <xm:sqref>E3</xm:sqref>
            </x14:sparkline>
            <x14:sparkline>
              <xm:f>' BILAN LOUMA PHASE1 SIM&amp;OM'!F3:F3</xm:f>
              <xm:sqref>F3</xm:sqref>
            </x14:sparkline>
            <x14:sparkline>
              <xm:f>' BILAN LOUMA PHASE1 SIM&amp;OM'!G3:G3</xm:f>
              <xm:sqref>G3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 BILAN LOUMA PHASE1 SIM&amp;OM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2025-07-16T18:42:18Z</dcterms:created>
  <dcterms:modified xsi:type="dcterms:W3CDTF">2025-08-12T12:53:23Z</dcterms:modified>
</cp:coreProperties>
</file>