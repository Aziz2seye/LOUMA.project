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5530" windowHeight="7050" firstSheet="1" activeTab="2"/>
  </bookViews>
  <sheets>
    <sheet name=" BILAN LOUMA PHASE1 SIM&amp;OM" sheetId="1" r:id="rId1"/>
    <sheet name="Carburants &amp; Hebergement" sheetId="3" r:id="rId2"/>
    <sheet name="COMMISSIONS" sheetId="2" r:id="rId3"/>
  </sheets>
  <definedNames>
    <definedName name="_xlnm._FilterDatabase" localSheetId="0" hidden="1">' BILAN LOUMA PHASE1 SIM&amp;OM'!$B$1:$K$10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4" i="3" l="1"/>
  <c r="P19" i="3" l="1"/>
  <c r="L18" i="3"/>
  <c r="N18" i="3" s="1"/>
  <c r="J25" i="3"/>
  <c r="I25" i="3"/>
  <c r="J24" i="3"/>
  <c r="I24" i="3"/>
  <c r="J23" i="3"/>
  <c r="I23" i="3"/>
  <c r="J22" i="3"/>
  <c r="I22" i="3"/>
  <c r="J21" i="3"/>
  <c r="I21" i="3"/>
  <c r="J20" i="3"/>
  <c r="J26" i="3" s="1"/>
  <c r="I20" i="3"/>
  <c r="I26" i="3" s="1"/>
  <c r="E32" i="1" l="1"/>
  <c r="E31" i="1"/>
  <c r="J5" i="2"/>
  <c r="J6" i="2"/>
  <c r="J7" i="2"/>
  <c r="J8" i="2"/>
  <c r="J9" i="2"/>
  <c r="J4" i="2"/>
  <c r="I10" i="2"/>
  <c r="J10" i="2" s="1"/>
  <c r="H10" i="2"/>
  <c r="J23" i="1"/>
  <c r="J10" i="1"/>
  <c r="I18" i="1" l="1"/>
  <c r="K18" i="1" s="1"/>
  <c r="I19" i="1"/>
  <c r="K19" i="1" s="1"/>
  <c r="I20" i="1"/>
  <c r="K20" i="1" s="1"/>
  <c r="I21" i="1"/>
  <c r="K21" i="1" s="1"/>
  <c r="I22" i="1"/>
  <c r="K22" i="1" s="1"/>
  <c r="I17" i="1"/>
  <c r="K17" i="1" s="1"/>
  <c r="H23" i="1"/>
  <c r="H10" i="1"/>
  <c r="G23" i="1"/>
  <c r="G10" i="1"/>
  <c r="I23" i="1" l="1"/>
  <c r="K23" i="1" s="1"/>
  <c r="I5" i="1" l="1"/>
  <c r="K5" i="1" s="1"/>
  <c r="I7" i="1"/>
  <c r="K7" i="1" s="1"/>
  <c r="I10" i="1"/>
  <c r="K10" i="1" s="1"/>
  <c r="I8" i="1"/>
  <c r="K8" i="1" s="1"/>
  <c r="I6" i="1"/>
  <c r="K6" i="1" s="1"/>
  <c r="I9" i="1"/>
  <c r="K9" i="1" s="1"/>
  <c r="I4" i="1"/>
  <c r="K4" i="1" s="1"/>
  <c r="T18" i="1" l="1"/>
  <c r="S18" i="1"/>
  <c r="U18" i="1" s="1"/>
  <c r="S17" i="1"/>
  <c r="U17" i="1" s="1"/>
  <c r="S16" i="1"/>
  <c r="U16" i="1" s="1"/>
  <c r="S15" i="1"/>
  <c r="U15" i="1" s="1"/>
  <c r="S14" i="1"/>
  <c r="U14" i="1" s="1"/>
  <c r="S13" i="1"/>
  <c r="U13" i="1" s="1"/>
  <c r="S12" i="1"/>
  <c r="U12" i="1" s="1"/>
</calcChain>
</file>

<file path=xl/sharedStrings.xml><?xml version="1.0" encoding="utf-8"?>
<sst xmlns="http://schemas.openxmlformats.org/spreadsheetml/2006/main" count="151" uniqueCount="74">
  <si>
    <t>DR</t>
  </si>
  <si>
    <t>TOT</t>
  </si>
  <si>
    <t>OBJ</t>
  </si>
  <si>
    <t>TR (%)</t>
  </si>
  <si>
    <t>DR2</t>
  </si>
  <si>
    <t>DRC</t>
  </si>
  <si>
    <t>DRE</t>
  </si>
  <si>
    <t>DRN</t>
  </si>
  <si>
    <t>DRS</t>
  </si>
  <si>
    <t>DRSE</t>
  </si>
  <si>
    <t>TOT SIMS</t>
  </si>
  <si>
    <t xml:space="preserve">BILAN DES REALISATIONS SIM </t>
  </si>
  <si>
    <t>BILAN DES REALISATIONS OM</t>
  </si>
  <si>
    <t>TOT OM</t>
  </si>
  <si>
    <t xml:space="preserve">BILAN DES REALISATIONS SIM - JUILLET </t>
  </si>
  <si>
    <t>SEM1</t>
  </si>
  <si>
    <t>SEM2</t>
  </si>
  <si>
    <t>SEM3</t>
  </si>
  <si>
    <t>SEM4</t>
  </si>
  <si>
    <t>TR</t>
  </si>
  <si>
    <t>TOTAL</t>
  </si>
  <si>
    <t xml:space="preserve">                                                                   </t>
  </si>
  <si>
    <t>Fev-Mars</t>
  </si>
  <si>
    <t>Avril</t>
  </si>
  <si>
    <t>Mai</t>
  </si>
  <si>
    <t>Juin</t>
  </si>
  <si>
    <t>Juillet</t>
  </si>
  <si>
    <t>Aout</t>
  </si>
  <si>
    <t>PVT</t>
  </si>
  <si>
    <t>Fev</t>
  </si>
  <si>
    <t>Mars</t>
  </si>
  <si>
    <t>MOR WADE KOLDA</t>
  </si>
  <si>
    <t xml:space="preserve">SEYDINA OUSMANE SY </t>
  </si>
  <si>
    <t>DEMBA FALL DE FATICK</t>
  </si>
  <si>
    <t>MADINA BUSINESS PRO LINGUERE</t>
  </si>
  <si>
    <t>SERIGNE MBACKE MADINA CISSE</t>
  </si>
  <si>
    <t>TEKNICOM CONSULTING GROUPE</t>
  </si>
  <si>
    <t xml:space="preserve">               -   </t>
  </si>
  <si>
    <t>Réalisations</t>
  </si>
  <si>
    <t>Offres</t>
  </si>
  <si>
    <t>R</t>
  </si>
  <si>
    <t>O</t>
  </si>
  <si>
    <t>R/O</t>
  </si>
  <si>
    <t>SIM</t>
  </si>
  <si>
    <t>OM</t>
  </si>
  <si>
    <t>Mars et Avril</t>
  </si>
  <si>
    <t>MAI</t>
  </si>
  <si>
    <t>JUIN</t>
  </si>
  <si>
    <t>JUILLET</t>
  </si>
  <si>
    <t>février</t>
  </si>
  <si>
    <t>mars</t>
  </si>
  <si>
    <t>avril</t>
  </si>
  <si>
    <t>mai</t>
  </si>
  <si>
    <t>juin</t>
  </si>
  <si>
    <t>juillet</t>
  </si>
  <si>
    <t>août</t>
  </si>
  <si>
    <t>Quantité.</t>
  </si>
  <si>
    <t>Montant.</t>
  </si>
  <si>
    <t>AA 041 WZ</t>
  </si>
  <si>
    <t>AA 312 WH</t>
  </si>
  <si>
    <t>AA 314 WH</t>
  </si>
  <si>
    <t>AA 321 WH</t>
  </si>
  <si>
    <t>AA 756 WH</t>
  </si>
  <si>
    <t>AA 759 WH</t>
  </si>
  <si>
    <t>Total général</t>
  </si>
  <si>
    <t>Véhicule</t>
  </si>
  <si>
    <t>Quantité</t>
  </si>
  <si>
    <t>Montant</t>
  </si>
  <si>
    <t>Total</t>
  </si>
  <si>
    <t>CARBURANT</t>
  </si>
  <si>
    <t xml:space="preserve"> </t>
  </si>
  <si>
    <t>SYNTHESE :</t>
  </si>
  <si>
    <t>HEBERGEMENT</t>
  </si>
  <si>
    <t>COMISSIONS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</si>
</sst>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20"/>
      <color theme="1"/>
      <name val="Arial Black"/>
      <family val="2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b/>
      <sz val="16"/>
      <color theme="1"/>
      <name val="Calibri"/>
      <family val="2"/>
      <scheme val="minor"/>
    </font>
    <font>
      <b/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4"/>
      <color rgb="FF000000"/>
      <name val="Calibri"/>
    </font>
    <font>
      <sz val="14"/>
      <color rgb="FF000000"/>
      <name val="Calibri"/>
    </font>
    <font>
      <sz val="8"/>
      <color rgb="FF212121"/>
      <name val="Segoe UI"/>
      <family val="2"/>
    </font>
    <font>
      <b/>
      <sz val="16"/>
      <color rgb="FF000000"/>
      <name val="Aptos Narrow"/>
    </font>
    <font>
      <sz val="16"/>
      <color rgb="FF000000"/>
      <name val="Aptos Narrow"/>
    </font>
    <font>
      <b/>
      <sz val="16"/>
      <color rgb="FFFF0000"/>
      <name val="Aptos Narrow"/>
    </font>
    <font>
      <b/>
      <sz val="24"/>
      <color theme="1"/>
      <name val="Arial Black"/>
      <family val="2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D35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F4B084"/>
      </bottom>
      <diagonal/>
    </border>
    <border>
      <left/>
      <right/>
      <top/>
      <bottom style="medium">
        <color rgb="FFF4B084"/>
      </bottom>
      <diagonal/>
    </border>
    <border>
      <left/>
      <right style="medium">
        <color indexed="64"/>
      </right>
      <top/>
      <bottom style="medium">
        <color rgb="FFF4B08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rgb="FFF4B084"/>
      </top>
      <bottom style="medium">
        <color indexed="64"/>
      </bottom>
      <diagonal/>
    </border>
    <border>
      <left/>
      <right/>
      <top style="medium">
        <color rgb="FFF4B084"/>
      </top>
      <bottom style="medium">
        <color indexed="64"/>
      </bottom>
      <diagonal/>
    </border>
    <border>
      <left/>
      <right style="medium">
        <color indexed="64"/>
      </right>
      <top style="medium">
        <color rgb="FFF4B08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2" tint="-0.249977111117893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249977111117893"/>
      </bottom>
      <diagonal/>
    </border>
    <border>
      <left style="medium">
        <color indexed="64"/>
      </left>
      <right style="medium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2" tint="-0.249977111117893"/>
      </left>
      <right style="medium">
        <color indexed="64"/>
      </right>
      <top/>
      <bottom style="thin">
        <color theme="2" tint="-0.249977111117893"/>
      </bottom>
      <diagonal/>
    </border>
    <border>
      <left style="medium">
        <color theme="2" tint="-0.249977111117893"/>
      </left>
      <right style="medium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2" tint="-0.249977111117893"/>
      </left>
      <right style="medium">
        <color indexed="64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2" tint="-0.249977111117893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9" fontId="0" fillId="0" borderId="1" xfId="0" applyNumberFormat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9" fontId="7" fillId="6" borderId="1" xfId="1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/>
    </xf>
    <xf numFmtId="0" fontId="9" fillId="0" borderId="3" xfId="0" applyFont="1" applyBorder="1" applyAlignment="1">
      <alignment horizontal="center" vertical="center" wrapText="1" readingOrder="1"/>
    </xf>
    <xf numFmtId="0" fontId="9" fillId="0" borderId="3" xfId="0" applyFont="1" applyBorder="1" applyAlignment="1">
      <alignment horizontal="left" vertical="center" wrapText="1" readingOrder="1"/>
    </xf>
    <xf numFmtId="0" fontId="9" fillId="0" borderId="3" xfId="0" applyFont="1" applyBorder="1" applyAlignment="1">
      <alignment horizontal="center" wrapText="1" readingOrder="1"/>
    </xf>
    <xf numFmtId="0" fontId="10" fillId="0" borderId="3" xfId="0" applyFont="1" applyBorder="1" applyAlignment="1">
      <alignment horizontal="left" vertical="center" wrapText="1" readingOrder="1"/>
    </xf>
    <xf numFmtId="0" fontId="10" fillId="0" borderId="3" xfId="0" applyFont="1" applyBorder="1" applyAlignment="1">
      <alignment horizontal="center" vertical="top" wrapText="1" readingOrder="1"/>
    </xf>
    <xf numFmtId="0" fontId="10" fillId="0" borderId="3" xfId="0" applyFont="1" applyBorder="1" applyAlignment="1">
      <alignment horizontal="center" wrapText="1" readingOrder="1"/>
    </xf>
    <xf numFmtId="0" fontId="10" fillId="0" borderId="3" xfId="0" applyFont="1" applyBorder="1" applyAlignment="1">
      <alignment horizontal="left" wrapText="1" readingOrder="1"/>
    </xf>
    <xf numFmtId="0" fontId="9" fillId="7" borderId="3" xfId="0" applyFont="1" applyFill="1" applyBorder="1" applyAlignment="1">
      <alignment horizontal="center" vertical="top" wrapText="1" readingOrder="1"/>
    </xf>
    <xf numFmtId="0" fontId="12" fillId="0" borderId="3" xfId="0" applyFont="1" applyBorder="1" applyAlignment="1">
      <alignment horizontal="center" wrapText="1" readingOrder="1"/>
    </xf>
    <xf numFmtId="9" fontId="11" fillId="0" borderId="3" xfId="0" applyNumberFormat="1" applyFont="1" applyBorder="1" applyAlignment="1">
      <alignment horizontal="center" wrapText="1" readingOrder="1"/>
    </xf>
    <xf numFmtId="9" fontId="8" fillId="0" borderId="1" xfId="0" applyNumberFormat="1" applyFont="1" applyBorder="1" applyAlignment="1">
      <alignment horizontal="center"/>
    </xf>
    <xf numFmtId="0" fontId="6" fillId="9" borderId="7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10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11" borderId="11" xfId="0" applyFont="1" applyFill="1" applyBorder="1" applyAlignment="1">
      <alignment vertical="center"/>
    </xf>
    <xf numFmtId="0" fontId="13" fillId="11" borderId="13" xfId="0" applyFont="1" applyFill="1" applyBorder="1" applyAlignment="1">
      <alignment vertical="center"/>
    </xf>
    <xf numFmtId="0" fontId="6" fillId="11" borderId="14" xfId="0" applyFont="1" applyFill="1" applyBorder="1" applyAlignment="1">
      <alignment horizontal="center" vertical="center"/>
    </xf>
    <xf numFmtId="0" fontId="6" fillId="11" borderId="1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6" fillId="11" borderId="18" xfId="0" applyFont="1" applyFill="1" applyBorder="1" applyAlignment="1">
      <alignment vertical="center"/>
    </xf>
    <xf numFmtId="0" fontId="6" fillId="11" borderId="19" xfId="0" applyFont="1" applyFill="1" applyBorder="1" applyAlignment="1">
      <alignment horizontal="center" vertical="center"/>
    </xf>
    <xf numFmtId="0" fontId="6" fillId="11" borderId="20" xfId="0" applyFont="1" applyFill="1" applyBorder="1" applyAlignment="1">
      <alignment horizontal="center" vertical="center"/>
    </xf>
    <xf numFmtId="0" fontId="8" fillId="0" borderId="25" xfId="0" applyFont="1" applyBorder="1"/>
    <xf numFmtId="0" fontId="0" fillId="0" borderId="17" xfId="0" applyBorder="1"/>
    <xf numFmtId="0" fontId="8" fillId="12" borderId="7" xfId="0" applyFont="1" applyFill="1" applyBorder="1"/>
    <xf numFmtId="0" fontId="8" fillId="12" borderId="10" xfId="0" applyFont="1" applyFill="1" applyBorder="1"/>
    <xf numFmtId="0" fontId="0" fillId="0" borderId="31" xfId="0" applyBorder="1"/>
    <xf numFmtId="0" fontId="0" fillId="0" borderId="7" xfId="0" applyBorder="1"/>
    <xf numFmtId="0" fontId="4" fillId="4" borderId="9" xfId="0" applyFont="1" applyFill="1" applyBorder="1" applyAlignment="1">
      <alignment vertical="center"/>
    </xf>
    <xf numFmtId="0" fontId="4" fillId="4" borderId="33" xfId="0" applyFont="1" applyFill="1" applyBorder="1" applyAlignment="1">
      <alignment vertical="center"/>
    </xf>
    <xf numFmtId="0" fontId="4" fillId="4" borderId="34" xfId="0" applyFont="1" applyFill="1" applyBorder="1" applyAlignment="1">
      <alignment vertical="center"/>
    </xf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8" fillId="0" borderId="26" xfId="0" applyFont="1" applyBorder="1"/>
    <xf numFmtId="0" fontId="0" fillId="0" borderId="38" xfId="0" applyBorder="1"/>
    <xf numFmtId="0" fontId="0" fillId="0" borderId="39" xfId="0" applyBorder="1"/>
    <xf numFmtId="0" fontId="14" fillId="13" borderId="3" xfId="0" applyFont="1" applyFill="1" applyBorder="1" applyAlignment="1">
      <alignment horizontal="center" wrapText="1" readingOrder="1"/>
    </xf>
    <xf numFmtId="0" fontId="15" fillId="0" borderId="3" xfId="0" applyFont="1" applyBorder="1" applyAlignment="1">
      <alignment horizontal="center" wrapText="1" readingOrder="1"/>
    </xf>
    <xf numFmtId="0" fontId="15" fillId="0" borderId="3" xfId="0" applyFont="1" applyBorder="1" applyAlignment="1">
      <alignment horizontal="center" vertical="center" wrapText="1" readingOrder="1"/>
    </xf>
    <xf numFmtId="0" fontId="14" fillId="0" borderId="3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 readingOrder="1"/>
    </xf>
    <xf numFmtId="0" fontId="11" fillId="8" borderId="4" xfId="0" applyFont="1" applyFill="1" applyBorder="1" applyAlignment="1">
      <alignment horizontal="center" wrapText="1" readingOrder="1"/>
    </xf>
    <xf numFmtId="0" fontId="11" fillId="8" borderId="6" xfId="0" applyFont="1" applyFill="1" applyBorder="1" applyAlignment="1">
      <alignment horizontal="center" wrapText="1" readingOrder="1"/>
    </xf>
    <xf numFmtId="0" fontId="11" fillId="8" borderId="5" xfId="0" applyFont="1" applyFill="1" applyBorder="1" applyAlignment="1">
      <alignment horizontal="center" wrapText="1" readingOrder="1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11" borderId="22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center" vertical="center"/>
    </xf>
    <xf numFmtId="0" fontId="8" fillId="12" borderId="30" xfId="0" applyFont="1" applyFill="1" applyBorder="1" applyAlignment="1">
      <alignment horizontal="center"/>
    </xf>
    <xf numFmtId="0" fontId="8" fillId="12" borderId="32" xfId="0" applyFont="1" applyFill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0" fontId="8" fillId="12" borderId="23" xfId="0" applyFont="1" applyFill="1" applyBorder="1" applyAlignment="1">
      <alignment horizontal="center" vertical="center"/>
    </xf>
    <xf numFmtId="0" fontId="8" fillId="12" borderId="24" xfId="0" applyFont="1" applyFill="1" applyBorder="1" applyAlignment="1">
      <alignment horizontal="center" vertical="center"/>
    </xf>
    <xf numFmtId="0" fontId="8" fillId="12" borderId="29" xfId="0" applyFont="1" applyFill="1" applyBorder="1" applyAlignment="1">
      <alignment horizontal="center" vertical="center"/>
    </xf>
    <xf numFmtId="0" fontId="8" fillId="12" borderId="40" xfId="0" applyFont="1" applyFill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17" fillId="14" borderId="21" xfId="0" applyFont="1" applyFill="1" applyBorder="1" applyAlignment="1">
      <alignment horizontal="center" vertical="center"/>
    </xf>
    <xf numFmtId="0" fontId="17" fillId="14" borderId="41" xfId="0" applyFont="1" applyFill="1" applyBorder="1" applyAlignment="1">
      <alignment horizontal="center" vertical="center"/>
    </xf>
    <xf numFmtId="0" fontId="17" fillId="14" borderId="42" xfId="0" applyFont="1" applyFill="1" applyBorder="1" applyAlignment="1">
      <alignment horizontal="center" vertical="center"/>
    </xf>
    <xf numFmtId="0" fontId="17" fillId="14" borderId="26" xfId="0" applyFont="1" applyFill="1" applyBorder="1" applyAlignment="1">
      <alignment horizontal="center" vertical="center"/>
    </xf>
    <xf numFmtId="0" fontId="17" fillId="14" borderId="27" xfId="0" applyFont="1" applyFill="1" applyBorder="1" applyAlignment="1">
      <alignment horizontal="center" vertical="center"/>
    </xf>
    <xf numFmtId="0" fontId="17" fillId="14" borderId="10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0" xfId="0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VOLUME</a:t>
            </a:r>
            <a:r>
              <a:rPr lang="fr-FR" baseline="0"/>
              <a:t> VENTES OM PAR DR</a:t>
            </a:r>
          </a:p>
        </c:rich>
      </c:tx>
      <c:layout/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 BILAN LOUMA PHASE1 SIM&amp;OM'!$C$16</c:f>
              <c:strCache>
                <c:ptCount val="1"/>
                <c:pt idx="0">
                  <c:v>Fev-Mars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SIM&amp;OM'!$C$17:$C$22</c:f>
              <c:numCache>
                <c:formatCode>General</c:formatCode>
                <c:ptCount val="6"/>
                <c:pt idx="0">
                  <c:v>0</c:v>
                </c:pt>
                <c:pt idx="1">
                  <c:v>473</c:v>
                </c:pt>
                <c:pt idx="2">
                  <c:v>526</c:v>
                </c:pt>
                <c:pt idx="3">
                  <c:v>630</c:v>
                </c:pt>
                <c:pt idx="4">
                  <c:v>557</c:v>
                </c:pt>
                <c:pt idx="5">
                  <c:v>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53-43A1-B6A3-FFC319E2EE2D}"/>
            </c:ext>
          </c:extLst>
        </c:ser>
        <c:ser>
          <c:idx val="1"/>
          <c:order val="1"/>
          <c:tx>
            <c:strRef>
              <c:f>' BILAN LOUMA PHASE1 SIM&amp;OM'!$D$16</c:f>
              <c:strCache>
                <c:ptCount val="1"/>
                <c:pt idx="0">
                  <c:v>Avril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SIM&amp;OM'!$D$17:$D$22</c:f>
              <c:numCache>
                <c:formatCode>General</c:formatCode>
                <c:ptCount val="6"/>
                <c:pt idx="0">
                  <c:v>1099</c:v>
                </c:pt>
                <c:pt idx="1">
                  <c:v>753</c:v>
                </c:pt>
                <c:pt idx="2">
                  <c:v>308</c:v>
                </c:pt>
                <c:pt idx="3">
                  <c:v>556</c:v>
                </c:pt>
                <c:pt idx="4">
                  <c:v>180</c:v>
                </c:pt>
                <c:pt idx="5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53-43A1-B6A3-FFC319E2EE2D}"/>
            </c:ext>
          </c:extLst>
        </c:ser>
        <c:ser>
          <c:idx val="2"/>
          <c:order val="2"/>
          <c:tx>
            <c:strRef>
              <c:f>' BILAN LOUMA PHASE1 SIM&amp;OM'!$E$16</c:f>
              <c:strCache>
                <c:ptCount val="1"/>
                <c:pt idx="0">
                  <c:v>Mai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SIM&amp;OM'!$E$17:$E$22</c:f>
              <c:numCache>
                <c:formatCode>General</c:formatCode>
                <c:ptCount val="6"/>
                <c:pt idx="0">
                  <c:v>200</c:v>
                </c:pt>
                <c:pt idx="1">
                  <c:v>349</c:v>
                </c:pt>
                <c:pt idx="2">
                  <c:v>220</c:v>
                </c:pt>
                <c:pt idx="3">
                  <c:v>131</c:v>
                </c:pt>
                <c:pt idx="4">
                  <c:v>10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53-43A1-B6A3-FFC319E2EE2D}"/>
            </c:ext>
          </c:extLst>
        </c:ser>
        <c:ser>
          <c:idx val="3"/>
          <c:order val="3"/>
          <c:tx>
            <c:strRef>
              <c:f>' BILAN LOUMA PHASE1 SIM&amp;OM'!$F$16</c:f>
              <c:strCache>
                <c:ptCount val="1"/>
                <c:pt idx="0">
                  <c:v>Juin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SIM&amp;OM'!$F$17:$F$22</c:f>
              <c:numCache>
                <c:formatCode>General</c:formatCode>
                <c:ptCount val="6"/>
                <c:pt idx="0">
                  <c:v>86</c:v>
                </c:pt>
                <c:pt idx="1">
                  <c:v>185</c:v>
                </c:pt>
                <c:pt idx="2">
                  <c:v>127</c:v>
                </c:pt>
                <c:pt idx="3">
                  <c:v>123</c:v>
                </c:pt>
                <c:pt idx="4">
                  <c:v>10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53-43A1-B6A3-FFC319E2EE2D}"/>
            </c:ext>
          </c:extLst>
        </c:ser>
        <c:ser>
          <c:idx val="4"/>
          <c:order val="4"/>
          <c:tx>
            <c:strRef>
              <c:f>' BILAN LOUMA PHASE1 SIM&amp;OM'!$G$16</c:f>
              <c:strCache>
                <c:ptCount val="1"/>
                <c:pt idx="0">
                  <c:v>Juillet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SIM&amp;OM'!$G$17:$G$22</c:f>
              <c:numCache>
                <c:formatCode>General</c:formatCode>
                <c:ptCount val="6"/>
                <c:pt idx="0">
                  <c:v>108</c:v>
                </c:pt>
                <c:pt idx="1">
                  <c:v>281</c:v>
                </c:pt>
                <c:pt idx="2">
                  <c:v>275</c:v>
                </c:pt>
                <c:pt idx="3">
                  <c:v>81</c:v>
                </c:pt>
                <c:pt idx="4">
                  <c:v>6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53-43A1-B6A3-FFC319E2EE2D}"/>
            </c:ext>
          </c:extLst>
        </c:ser>
        <c:ser>
          <c:idx val="5"/>
          <c:order val="5"/>
          <c:tx>
            <c:strRef>
              <c:f>' BILAN LOUMA PHASE1 SIM&amp;OM'!$H$16</c:f>
              <c:strCache>
                <c:ptCount val="1"/>
                <c:pt idx="0">
                  <c:v>Aout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SIM&amp;OM'!$H$17:$H$22</c:f>
              <c:numCache>
                <c:formatCode>General</c:formatCode>
                <c:ptCount val="6"/>
                <c:pt idx="0">
                  <c:v>135</c:v>
                </c:pt>
                <c:pt idx="1">
                  <c:v>282</c:v>
                </c:pt>
                <c:pt idx="2">
                  <c:v>361</c:v>
                </c:pt>
                <c:pt idx="3">
                  <c:v>132</c:v>
                </c:pt>
                <c:pt idx="4">
                  <c:v>7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353-43A1-B6A3-FFC319E2EE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595008656"/>
        <c:axId val="1595009072"/>
      </c:barChart>
      <c:catAx>
        <c:axId val="159500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009072"/>
        <c:crosses val="autoZero"/>
        <c:auto val="1"/>
        <c:lblAlgn val="ctr"/>
        <c:lblOffset val="100"/>
        <c:noMultiLvlLbl val="0"/>
      </c:catAx>
      <c:valAx>
        <c:axId val="159500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9500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VOLUME</a:t>
            </a:r>
            <a:r>
              <a:rPr lang="fr-FR" baseline="0"/>
              <a:t> VENTES SIM PAR DR</a:t>
            </a:r>
            <a:endParaRPr lang="fr-FR"/>
          </a:p>
        </c:rich>
      </c:tx>
      <c:layout/>
      <c:overlay val="0"/>
      <c:spPr>
        <a:solidFill>
          <a:srgbClr val="92D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1111111111111109E-2"/>
          <c:y val="0.31206073199183437"/>
          <c:w val="0.93888888888888888"/>
          <c:h val="0.612283100029162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 BILAN LOUMA PHASE1 SIM&amp;OM'!$C$3</c:f>
              <c:strCache>
                <c:ptCount val="1"/>
                <c:pt idx="0">
                  <c:v>Fev-Mars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SIM&amp;OM'!$C$4:$C$9</c:f>
              <c:numCache>
                <c:formatCode>General</c:formatCode>
                <c:ptCount val="6"/>
                <c:pt idx="0">
                  <c:v>0</c:v>
                </c:pt>
                <c:pt idx="1">
                  <c:v>1017</c:v>
                </c:pt>
                <c:pt idx="2">
                  <c:v>1026</c:v>
                </c:pt>
                <c:pt idx="3">
                  <c:v>513</c:v>
                </c:pt>
                <c:pt idx="4">
                  <c:v>595</c:v>
                </c:pt>
                <c:pt idx="5">
                  <c:v>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9F-46D1-AA7E-0455F727B892}"/>
            </c:ext>
          </c:extLst>
        </c:ser>
        <c:ser>
          <c:idx val="1"/>
          <c:order val="1"/>
          <c:tx>
            <c:strRef>
              <c:f>' BILAN LOUMA PHASE1 SIM&amp;OM'!$D$3</c:f>
              <c:strCache>
                <c:ptCount val="1"/>
                <c:pt idx="0">
                  <c:v>Avril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SIM&amp;OM'!$D$4:$D$9</c:f>
              <c:numCache>
                <c:formatCode>General</c:formatCode>
                <c:ptCount val="6"/>
                <c:pt idx="0">
                  <c:v>1461</c:v>
                </c:pt>
                <c:pt idx="1">
                  <c:v>1529</c:v>
                </c:pt>
                <c:pt idx="2">
                  <c:v>1421</c:v>
                </c:pt>
                <c:pt idx="3">
                  <c:v>1166</c:v>
                </c:pt>
                <c:pt idx="4">
                  <c:v>1182</c:v>
                </c:pt>
                <c:pt idx="5">
                  <c:v>1057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9F-46D1-AA7E-0455F727B892}"/>
            </c:ext>
          </c:extLst>
        </c:ser>
        <c:ser>
          <c:idx val="2"/>
          <c:order val="2"/>
          <c:tx>
            <c:strRef>
              <c:f>' BILAN LOUMA PHASE1 SIM&amp;OM'!$E$3</c:f>
              <c:strCache>
                <c:ptCount val="1"/>
                <c:pt idx="0">
                  <c:v>Mai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SIM&amp;OM'!$E$4:$E$9</c:f>
              <c:numCache>
                <c:formatCode>General</c:formatCode>
                <c:ptCount val="6"/>
                <c:pt idx="0">
                  <c:v>1654</c:v>
                </c:pt>
                <c:pt idx="1">
                  <c:v>1736</c:v>
                </c:pt>
                <c:pt idx="2">
                  <c:v>1533</c:v>
                </c:pt>
                <c:pt idx="3">
                  <c:v>1286</c:v>
                </c:pt>
                <c:pt idx="4">
                  <c:v>1503</c:v>
                </c:pt>
                <c:pt idx="5">
                  <c:v>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9F-46D1-AA7E-0455F727B892}"/>
            </c:ext>
          </c:extLst>
        </c:ser>
        <c:ser>
          <c:idx val="3"/>
          <c:order val="3"/>
          <c:tx>
            <c:strRef>
              <c:f>' BILAN LOUMA PHASE1 SIM&amp;OM'!$F$3</c:f>
              <c:strCache>
                <c:ptCount val="1"/>
                <c:pt idx="0">
                  <c:v>Juin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SIM&amp;OM'!$F$4:$F$9</c:f>
              <c:numCache>
                <c:formatCode>General</c:formatCode>
                <c:ptCount val="6"/>
                <c:pt idx="0">
                  <c:v>1272</c:v>
                </c:pt>
                <c:pt idx="1">
                  <c:v>1009</c:v>
                </c:pt>
                <c:pt idx="2">
                  <c:v>1056</c:v>
                </c:pt>
                <c:pt idx="3">
                  <c:v>995</c:v>
                </c:pt>
                <c:pt idx="4">
                  <c:v>1054</c:v>
                </c:pt>
                <c:pt idx="5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9F-46D1-AA7E-0455F727B892}"/>
            </c:ext>
          </c:extLst>
        </c:ser>
        <c:ser>
          <c:idx val="4"/>
          <c:order val="4"/>
          <c:tx>
            <c:strRef>
              <c:f>' BILAN LOUMA PHASE1 SIM&amp;OM'!$G$3</c:f>
              <c:strCache>
                <c:ptCount val="1"/>
                <c:pt idx="0">
                  <c:v>Juillet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SIM&amp;OM'!$G$4:$G$9</c:f>
              <c:numCache>
                <c:formatCode>General</c:formatCode>
                <c:ptCount val="6"/>
                <c:pt idx="0">
                  <c:v>1525</c:v>
                </c:pt>
                <c:pt idx="1">
                  <c:v>1274</c:v>
                </c:pt>
                <c:pt idx="2">
                  <c:v>1240</c:v>
                </c:pt>
                <c:pt idx="3">
                  <c:v>1024</c:v>
                </c:pt>
                <c:pt idx="4">
                  <c:v>1271</c:v>
                </c:pt>
                <c:pt idx="5">
                  <c:v>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9F-46D1-AA7E-0455F727B892}"/>
            </c:ext>
          </c:extLst>
        </c:ser>
        <c:ser>
          <c:idx val="5"/>
          <c:order val="5"/>
          <c:tx>
            <c:strRef>
              <c:f>' BILAN LOUMA PHASE1 SIM&amp;OM'!$H$3</c:f>
              <c:strCache>
                <c:ptCount val="1"/>
                <c:pt idx="0">
                  <c:v>Aout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SIM&amp;OM'!$H$4:$H$9</c:f>
              <c:numCache>
                <c:formatCode>General</c:formatCode>
                <c:ptCount val="6"/>
                <c:pt idx="0">
                  <c:v>1157</c:v>
                </c:pt>
                <c:pt idx="1">
                  <c:v>1102</c:v>
                </c:pt>
                <c:pt idx="2">
                  <c:v>1026</c:v>
                </c:pt>
                <c:pt idx="3">
                  <c:v>900</c:v>
                </c:pt>
                <c:pt idx="4">
                  <c:v>970</c:v>
                </c:pt>
                <c:pt idx="5">
                  <c:v>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9F-46D1-AA7E-0455F727B8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596603696"/>
        <c:axId val="1596607856"/>
      </c:barChart>
      <c:catAx>
        <c:axId val="159660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6607856"/>
        <c:crosses val="autoZero"/>
        <c:auto val="1"/>
        <c:lblAlgn val="ctr"/>
        <c:lblOffset val="100"/>
        <c:noMultiLvlLbl val="0"/>
      </c:catAx>
      <c:valAx>
        <c:axId val="1596607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9660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TR</a:t>
            </a:r>
            <a:r>
              <a:rPr lang="en-US" baseline="0"/>
              <a:t> SIM sur OBJ</a:t>
            </a:r>
          </a:p>
        </c:rich>
      </c:tx>
      <c:layout/>
      <c:overlay val="0"/>
      <c:spPr>
        <a:solidFill>
          <a:srgbClr val="92D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8"/>
          <c:order val="8"/>
          <c:tx>
            <c:strRef>
              <c:f>' BILAN LOUMA PHASE1 SIM&amp;OM'!$K$3</c:f>
              <c:strCache>
                <c:ptCount val="1"/>
                <c:pt idx="0">
                  <c:v>TR (%)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dLbl>
              <c:idx val="0"/>
              <c:layout>
                <c:manualLayout>
                  <c:x val="0"/>
                  <c:y val="0.108776266996291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4E58-4A81-B40F-099B950C4C4E}"/>
                </c:ext>
              </c:extLst>
            </c:dLbl>
            <c:dLbl>
              <c:idx val="1"/>
              <c:layout>
                <c:manualLayout>
                  <c:x val="0"/>
                  <c:y val="0.108776266996291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4E58-4A81-B40F-099B950C4C4E}"/>
                </c:ext>
              </c:extLst>
            </c:dLbl>
            <c:dLbl>
              <c:idx val="2"/>
              <c:layout>
                <c:manualLayout>
                  <c:x val="2.7777777777777779E-3"/>
                  <c:y val="9.3943139678615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4E58-4A81-B40F-099B950C4C4E}"/>
                </c:ext>
              </c:extLst>
            </c:dLbl>
            <c:dLbl>
              <c:idx val="3"/>
              <c:layout>
                <c:manualLayout>
                  <c:x val="0"/>
                  <c:y val="8.89987639060567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4E58-4A81-B40F-099B950C4C4E}"/>
                </c:ext>
              </c:extLst>
            </c:dLbl>
            <c:dLbl>
              <c:idx val="4"/>
              <c:layout>
                <c:manualLayout>
                  <c:x val="2.7777777777777779E-3"/>
                  <c:y val="9.88875154511742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4E58-4A81-B40F-099B950C4C4E}"/>
                </c:ext>
              </c:extLst>
            </c:dLbl>
            <c:dLbl>
              <c:idx val="5"/>
              <c:layout>
                <c:manualLayout>
                  <c:x val="2.777777777777676E-3"/>
                  <c:y val="8.40543881334981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4E58-4A81-B40F-099B950C4C4E}"/>
                </c:ext>
              </c:extLst>
            </c:dLbl>
            <c:spPr>
              <a:solidFill>
                <a:srgbClr val="92D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SIM&amp;OM'!$B$4:$B$9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SIM&amp;OM'!$K$4:$K$9</c:f>
              <c:numCache>
                <c:formatCode>0%</c:formatCode>
                <c:ptCount val="6"/>
                <c:pt idx="0">
                  <c:v>1.4727083333333333</c:v>
                </c:pt>
                <c:pt idx="1">
                  <c:v>1.3403846153846153</c:v>
                </c:pt>
                <c:pt idx="2">
                  <c:v>1.2765734265734265</c:v>
                </c:pt>
                <c:pt idx="3">
                  <c:v>1.0286713286713287</c:v>
                </c:pt>
                <c:pt idx="4">
                  <c:v>1.1494755244755244</c:v>
                </c:pt>
                <c:pt idx="5">
                  <c:v>0.87569930069930069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E58-4A81-B40F-099B950C4C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46823632"/>
        <c:axId val="1646828208"/>
        <c:axId val="15104546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 BILAN LOUMA PHASE1 SIM&amp;OM'!$C$3</c15:sqref>
                        </c15:formulaRef>
                      </c:ext>
                    </c:extLst>
                    <c:strCache>
                      <c:ptCount val="1"/>
                      <c:pt idx="0">
                        <c:v>Fev-Mars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 BILAN LOUMA PHASE1 SIM&amp;OM'!$C$4:$C$9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1017</c:v>
                      </c:pt>
                      <c:pt idx="2">
                        <c:v>1026</c:v>
                      </c:pt>
                      <c:pt idx="3">
                        <c:v>513</c:v>
                      </c:pt>
                      <c:pt idx="4">
                        <c:v>595</c:v>
                      </c:pt>
                      <c:pt idx="5">
                        <c:v>527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E58-4A81-B40F-099B950C4C4E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SIM&amp;OM'!$D$3</c15:sqref>
                        </c15:formulaRef>
                      </c:ext>
                    </c:extLst>
                    <c:strCache>
                      <c:ptCount val="1"/>
                      <c:pt idx="0">
                        <c:v>Avril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SIM&amp;OM'!$D$4:$D$9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1461</c:v>
                      </c:pt>
                      <c:pt idx="1">
                        <c:v>1529</c:v>
                      </c:pt>
                      <c:pt idx="2">
                        <c:v>1421</c:v>
                      </c:pt>
                      <c:pt idx="3">
                        <c:v>1166</c:v>
                      </c:pt>
                      <c:pt idx="4">
                        <c:v>1182</c:v>
                      </c:pt>
                      <c:pt idx="5">
                        <c:v>1057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E58-4A81-B40F-099B950C4C4E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SIM&amp;OM'!$E$3</c15:sqref>
                        </c15:formulaRef>
                      </c:ext>
                    </c:extLst>
                    <c:strCache>
                      <c:ptCount val="1"/>
                      <c:pt idx="0">
                        <c:v>Mai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SIM&amp;OM'!$E$4:$E$9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1654</c:v>
                      </c:pt>
                      <c:pt idx="1">
                        <c:v>1736</c:v>
                      </c:pt>
                      <c:pt idx="2">
                        <c:v>1533</c:v>
                      </c:pt>
                      <c:pt idx="3">
                        <c:v>1286</c:v>
                      </c:pt>
                      <c:pt idx="4">
                        <c:v>1503</c:v>
                      </c:pt>
                      <c:pt idx="5">
                        <c:v>1051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E58-4A81-B40F-099B950C4C4E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SIM&amp;OM'!$F$3</c15:sqref>
                        </c15:formulaRef>
                      </c:ext>
                    </c:extLst>
                    <c:strCache>
                      <c:ptCount val="1"/>
                      <c:pt idx="0">
                        <c:v>Juin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SIM&amp;OM'!$F$4:$F$9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1272</c:v>
                      </c:pt>
                      <c:pt idx="1">
                        <c:v>1009</c:v>
                      </c:pt>
                      <c:pt idx="2">
                        <c:v>1056</c:v>
                      </c:pt>
                      <c:pt idx="3">
                        <c:v>995</c:v>
                      </c:pt>
                      <c:pt idx="4">
                        <c:v>1054</c:v>
                      </c:pt>
                      <c:pt idx="5">
                        <c:v>731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E58-4A81-B40F-099B950C4C4E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SIM&amp;OM'!$G$3</c15:sqref>
                        </c15:formulaRef>
                      </c:ext>
                    </c:extLst>
                    <c:strCache>
                      <c:ptCount val="1"/>
                      <c:pt idx="0">
                        <c:v>Juillet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SIM&amp;OM'!$G$4:$G$9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1525</c:v>
                      </c:pt>
                      <c:pt idx="1">
                        <c:v>1274</c:v>
                      </c:pt>
                      <c:pt idx="2">
                        <c:v>1240</c:v>
                      </c:pt>
                      <c:pt idx="3">
                        <c:v>1024</c:v>
                      </c:pt>
                      <c:pt idx="4">
                        <c:v>1271</c:v>
                      </c:pt>
                      <c:pt idx="5">
                        <c:v>994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E58-4A81-B40F-099B950C4C4E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SIM&amp;OM'!$H$3</c15:sqref>
                        </c15:formulaRef>
                      </c:ext>
                    </c:extLst>
                    <c:strCache>
                      <c:ptCount val="1"/>
                      <c:pt idx="0">
                        <c:v>Aout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SIM&amp;OM'!$H$4:$H$9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1157</c:v>
                      </c:pt>
                      <c:pt idx="1">
                        <c:v>1102</c:v>
                      </c:pt>
                      <c:pt idx="2">
                        <c:v>1026</c:v>
                      </c:pt>
                      <c:pt idx="3">
                        <c:v>900</c:v>
                      </c:pt>
                      <c:pt idx="4">
                        <c:v>970</c:v>
                      </c:pt>
                      <c:pt idx="5">
                        <c:v>649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E58-4A81-B40F-099B950C4C4E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SIM&amp;OM'!$I$3</c15:sqref>
                        </c15:formulaRef>
                      </c:ext>
                    </c:extLst>
                    <c:strCache>
                      <c:ptCount val="1"/>
                      <c:pt idx="0">
                        <c:v>TOT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SIM&amp;OM'!$I$4:$I$9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7069</c:v>
                      </c:pt>
                      <c:pt idx="1">
                        <c:v>7667</c:v>
                      </c:pt>
                      <c:pt idx="2">
                        <c:v>7302</c:v>
                      </c:pt>
                      <c:pt idx="3">
                        <c:v>5884</c:v>
                      </c:pt>
                      <c:pt idx="4">
                        <c:v>6575</c:v>
                      </c:pt>
                      <c:pt idx="5">
                        <c:v>5009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E58-4A81-B40F-099B950C4C4E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SIM&amp;OM'!$J$3</c15:sqref>
                        </c15:formulaRef>
                      </c:ext>
                    </c:extLst>
                    <c:strCache>
                      <c:ptCount val="1"/>
                      <c:pt idx="0">
                        <c:v>OBJ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SIM&amp;OM'!$B$4:$B$9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SIM&amp;OM'!$J$4:$J$9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4800</c:v>
                      </c:pt>
                      <c:pt idx="1">
                        <c:v>5720</c:v>
                      </c:pt>
                      <c:pt idx="2">
                        <c:v>5720</c:v>
                      </c:pt>
                      <c:pt idx="3">
                        <c:v>5720</c:v>
                      </c:pt>
                      <c:pt idx="4">
                        <c:v>5720</c:v>
                      </c:pt>
                      <c:pt idx="5">
                        <c:v>5720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E58-4A81-B40F-099B950C4C4E}"/>
                  </c:ext>
                </c:extLst>
              </c15:ser>
            </c15:filteredBarSeries>
          </c:ext>
        </c:extLst>
      </c:bar3DChart>
      <c:catAx>
        <c:axId val="164682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6828208"/>
        <c:crosses val="autoZero"/>
        <c:auto val="1"/>
        <c:lblAlgn val="ctr"/>
        <c:lblOffset val="100"/>
        <c:noMultiLvlLbl val="0"/>
      </c:catAx>
      <c:valAx>
        <c:axId val="16468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6823632"/>
        <c:crosses val="autoZero"/>
        <c:crossBetween val="between"/>
      </c:valAx>
      <c:serAx>
        <c:axId val="151045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6828208"/>
        <c:crosses val="autoZero"/>
      </c:ser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tx2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2"/>
                </a:solidFill>
              </a:rPr>
              <a:t>TR OM</a:t>
            </a:r>
            <a:r>
              <a:rPr lang="en-US" b="1" baseline="0">
                <a:solidFill>
                  <a:schemeClr val="tx2"/>
                </a:solidFill>
              </a:rPr>
              <a:t> sur OBJ</a:t>
            </a:r>
            <a:endParaRPr lang="en-US" b="1">
              <a:solidFill>
                <a:schemeClr val="tx2"/>
              </a:solidFill>
            </a:endParaRPr>
          </a:p>
        </c:rich>
      </c:tx>
      <c:layout/>
      <c:overlay val="0"/>
      <c:spPr>
        <a:solidFill>
          <a:srgbClr val="FFC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tx2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823381452318459"/>
          <c:y val="0.25650517643627879"/>
          <c:w val="0.8051198600174978"/>
          <c:h val="0.60368802857976089"/>
        </c:manualLayout>
      </c:layout>
      <c:bar3DChart>
        <c:barDir val="col"/>
        <c:grouping val="standard"/>
        <c:varyColors val="0"/>
        <c:ser>
          <c:idx val="8"/>
          <c:order val="8"/>
          <c:tx>
            <c:strRef>
              <c:f>' BILAN LOUMA PHASE1 SIM&amp;OM'!$K$16</c:f>
              <c:strCache>
                <c:ptCount val="1"/>
                <c:pt idx="0">
                  <c:v>TR (%)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80000"/>
                    <a:lumOff val="2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80000"/>
                    <a:lumOff val="2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solidFill>
                <a:schemeClr val="tx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BILAN LOUMA PHASE1 SIM&amp;OM'!$B$17:$B$22</c:f>
              <c:strCache>
                <c:ptCount val="6"/>
                <c:pt idx="0">
                  <c:v>DR2</c:v>
                </c:pt>
                <c:pt idx="1">
                  <c:v>DRC</c:v>
                </c:pt>
                <c:pt idx="2">
                  <c:v>DRE</c:v>
                </c:pt>
                <c:pt idx="3">
                  <c:v>DRN</c:v>
                </c:pt>
                <c:pt idx="4">
                  <c:v>DRS</c:v>
                </c:pt>
                <c:pt idx="5">
                  <c:v>DRSE</c:v>
                </c:pt>
              </c:strCache>
            </c:strRef>
          </c:cat>
          <c:val>
            <c:numRef>
              <c:f>' BILAN LOUMA PHASE1 SIM&amp;OM'!$K$17:$K$22</c:f>
              <c:numCache>
                <c:formatCode>0%</c:formatCode>
                <c:ptCount val="6"/>
                <c:pt idx="0">
                  <c:v>0.67833333333333334</c:v>
                </c:pt>
                <c:pt idx="1">
                  <c:v>0.80659722222222219</c:v>
                </c:pt>
                <c:pt idx="2">
                  <c:v>0.63090277777777781</c:v>
                </c:pt>
                <c:pt idx="3">
                  <c:v>0.57395833333333335</c:v>
                </c:pt>
                <c:pt idx="4">
                  <c:v>0.2673611111111111</c:v>
                </c:pt>
                <c:pt idx="5">
                  <c:v>0.13125000000000001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F6-45AE-83B5-B358B34FCB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01788576"/>
        <c:axId val="1801790240"/>
        <c:axId val="15871206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 BILAN LOUMA PHASE1 SIM&amp;OM'!$C$16</c15:sqref>
                        </c15:formulaRef>
                      </c:ext>
                    </c:extLst>
                    <c:strCache>
                      <c:ptCount val="1"/>
                      <c:pt idx="0">
                        <c:v>Fev-Mars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 BILAN LOUMA PHASE1 SIM&amp;OM'!$C$17:$C$22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473</c:v>
                      </c:pt>
                      <c:pt idx="2">
                        <c:v>526</c:v>
                      </c:pt>
                      <c:pt idx="3">
                        <c:v>630</c:v>
                      </c:pt>
                      <c:pt idx="4">
                        <c:v>557</c:v>
                      </c:pt>
                      <c:pt idx="5">
                        <c:v>283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0F6-45AE-83B5-B358B34FCB2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SIM&amp;OM'!$D$16</c15:sqref>
                        </c15:formulaRef>
                      </c:ext>
                    </c:extLst>
                    <c:strCache>
                      <c:ptCount val="1"/>
                      <c:pt idx="0">
                        <c:v>Avril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SIM&amp;OM'!$D$17:$D$22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1099</c:v>
                      </c:pt>
                      <c:pt idx="1">
                        <c:v>753</c:v>
                      </c:pt>
                      <c:pt idx="2">
                        <c:v>308</c:v>
                      </c:pt>
                      <c:pt idx="3">
                        <c:v>556</c:v>
                      </c:pt>
                      <c:pt idx="4">
                        <c:v>180</c:v>
                      </c:pt>
                      <c:pt idx="5">
                        <c:v>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0F6-45AE-83B5-B358B34FCB2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SIM&amp;OM'!$E$16</c15:sqref>
                        </c15:formulaRef>
                      </c:ext>
                    </c:extLst>
                    <c:strCache>
                      <c:ptCount val="1"/>
                      <c:pt idx="0">
                        <c:v>Mai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SIM&amp;OM'!$E$17:$E$22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200</c:v>
                      </c:pt>
                      <c:pt idx="1">
                        <c:v>349</c:v>
                      </c:pt>
                      <c:pt idx="2">
                        <c:v>220</c:v>
                      </c:pt>
                      <c:pt idx="3">
                        <c:v>131</c:v>
                      </c:pt>
                      <c:pt idx="4">
                        <c:v>10</c:v>
                      </c:pt>
                      <c:pt idx="5">
                        <c:v>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0F6-45AE-83B5-B358B34FCB21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SIM&amp;OM'!$F$16</c15:sqref>
                        </c15:formulaRef>
                      </c:ext>
                    </c:extLst>
                    <c:strCache>
                      <c:ptCount val="1"/>
                      <c:pt idx="0">
                        <c:v>Juin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SIM&amp;OM'!$F$17:$F$22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86</c:v>
                      </c:pt>
                      <c:pt idx="1">
                        <c:v>185</c:v>
                      </c:pt>
                      <c:pt idx="2">
                        <c:v>127</c:v>
                      </c:pt>
                      <c:pt idx="3">
                        <c:v>123</c:v>
                      </c:pt>
                      <c:pt idx="4">
                        <c:v>10</c:v>
                      </c:pt>
                      <c:pt idx="5">
                        <c:v>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0F6-45AE-83B5-B358B34FCB2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SIM&amp;OM'!$G$16</c15:sqref>
                        </c15:formulaRef>
                      </c:ext>
                    </c:extLst>
                    <c:strCache>
                      <c:ptCount val="1"/>
                      <c:pt idx="0">
                        <c:v>Juillet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SIM&amp;OM'!$G$17:$G$22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108</c:v>
                      </c:pt>
                      <c:pt idx="1">
                        <c:v>281</c:v>
                      </c:pt>
                      <c:pt idx="2">
                        <c:v>275</c:v>
                      </c:pt>
                      <c:pt idx="3">
                        <c:v>81</c:v>
                      </c:pt>
                      <c:pt idx="4">
                        <c:v>6</c:v>
                      </c:pt>
                      <c:pt idx="5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0F6-45AE-83B5-B358B34FCB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SIM&amp;OM'!$H$16</c15:sqref>
                        </c15:formulaRef>
                      </c:ext>
                    </c:extLst>
                    <c:strCache>
                      <c:ptCount val="1"/>
                      <c:pt idx="0">
                        <c:v>Aout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SIM&amp;OM'!$H$17:$H$22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135</c:v>
                      </c:pt>
                      <c:pt idx="1">
                        <c:v>282</c:v>
                      </c:pt>
                      <c:pt idx="2">
                        <c:v>361</c:v>
                      </c:pt>
                      <c:pt idx="3">
                        <c:v>132</c:v>
                      </c:pt>
                      <c:pt idx="4">
                        <c:v>7</c:v>
                      </c:pt>
                      <c:pt idx="5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0F6-45AE-83B5-B358B34FCB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SIM&amp;OM'!$I$16</c15:sqref>
                        </c15:formulaRef>
                      </c:ext>
                    </c:extLst>
                    <c:strCache>
                      <c:ptCount val="1"/>
                      <c:pt idx="0">
                        <c:v>TOT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SIM&amp;OM'!$I$17:$I$22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1628</c:v>
                      </c:pt>
                      <c:pt idx="1">
                        <c:v>2323</c:v>
                      </c:pt>
                      <c:pt idx="2">
                        <c:v>1817</c:v>
                      </c:pt>
                      <c:pt idx="3">
                        <c:v>1653</c:v>
                      </c:pt>
                      <c:pt idx="4">
                        <c:v>770</c:v>
                      </c:pt>
                      <c:pt idx="5">
                        <c:v>378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0F6-45AE-83B5-B358B34FCB21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SIM&amp;OM'!$J$16</c15:sqref>
                        </c15:formulaRef>
                      </c:ext>
                    </c:extLst>
                    <c:strCache>
                      <c:ptCount val="1"/>
                      <c:pt idx="0">
                        <c:v>OBJ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80000"/>
                          <a:lumOff val="2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lumMod val="80000"/>
                          <a:lumOff val="2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80000"/>
                          <a:lumOff val="2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fr-F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SIM&amp;OM'!$B$17:$B$22</c15:sqref>
                        </c15:formulaRef>
                      </c:ext>
                    </c:extLst>
                    <c:strCache>
                      <c:ptCount val="6"/>
                      <c:pt idx="0">
                        <c:v>DR2</c:v>
                      </c:pt>
                      <c:pt idx="1">
                        <c:v>DRC</c:v>
                      </c:pt>
                      <c:pt idx="2">
                        <c:v>DRE</c:v>
                      </c:pt>
                      <c:pt idx="3">
                        <c:v>DRN</c:v>
                      </c:pt>
                      <c:pt idx="4">
                        <c:v>DRS</c:v>
                      </c:pt>
                      <c:pt idx="5">
                        <c:v>DRSE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 BILAN LOUMA PHASE1 SIM&amp;OM'!$J$17:$J$22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2400</c:v>
                      </c:pt>
                      <c:pt idx="1">
                        <c:v>2880</c:v>
                      </c:pt>
                      <c:pt idx="2">
                        <c:v>2880</c:v>
                      </c:pt>
                      <c:pt idx="3">
                        <c:v>2880</c:v>
                      </c:pt>
                      <c:pt idx="4">
                        <c:v>2880</c:v>
                      </c:pt>
                      <c:pt idx="5">
                        <c:v>2880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0F6-45AE-83B5-B358B34FCB21}"/>
                  </c:ext>
                </c:extLst>
              </c15:ser>
            </c15:filteredBarSeries>
          </c:ext>
        </c:extLst>
      </c:bar3DChart>
      <c:catAx>
        <c:axId val="180178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790240"/>
        <c:crosses val="autoZero"/>
        <c:auto val="1"/>
        <c:lblAlgn val="ctr"/>
        <c:lblOffset val="100"/>
        <c:noMultiLvlLbl val="0"/>
      </c:catAx>
      <c:valAx>
        <c:axId val="180179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788576"/>
        <c:crosses val="autoZero"/>
        <c:crossBetween val="between"/>
      </c:valAx>
      <c:serAx>
        <c:axId val="1587120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790240"/>
        <c:crosses val="autoZero"/>
      </c:ser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495300</xdr:colOff>
      <xdr:row>34</xdr:row>
      <xdr:rowOff>15875</xdr:rowOff>
    </xdr:from>
    <xdr:to>
      <xdr:col>6</xdr:col>
      <xdr:colOff>495300</xdr:colOff>
      <xdr:row>47</xdr:row>
      <xdr:rowOff>28575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165100</xdr:colOff>
      <xdr:row>34</xdr:row>
      <xdr:rowOff>22225</xdr:rowOff>
    </xdr:from>
    <xdr:to>
      <xdr:col>13</xdr:col>
      <xdr:colOff>165100</xdr:colOff>
      <xdr:row>47</xdr:row>
      <xdr:rowOff>34925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171450</xdr:colOff>
      <xdr:row>48</xdr:row>
      <xdr:rowOff>104775</xdr:rowOff>
    </xdr:from>
    <xdr:to>
      <xdr:col>13</xdr:col>
      <xdr:colOff>171450</xdr:colOff>
      <xdr:row>62</xdr:row>
      <xdr:rowOff>95250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488950</xdr:colOff>
      <xdr:row>48</xdr:row>
      <xdr:rowOff>85725</xdr:rowOff>
    </xdr:from>
    <xdr:to>
      <xdr:col>6</xdr:col>
      <xdr:colOff>488950</xdr:colOff>
      <xdr:row>63</xdr:row>
      <xdr:rowOff>66675</xdr:rowOff>
    </xdr:to>
    <xdr:graphicFrame macro="">
      <xdr:nvGraphicFramePr>
        <xdr:cNvPr id="5" name="Graphique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37"/>
  <sheetViews>
    <sheetView workbookViewId="0">
      <selection activeCell="C71" sqref="C71"/>
    </sheetView>
  </sheetViews>
  <sheetFormatPr baseColWidth="10" defaultRowHeight="14.5"/>
  <sheetData>
    <row r="1" spans="2:21" ht="14.5" customHeight="1">
      <c r="B1" s="59" t="s">
        <v>11</v>
      </c>
      <c r="C1" s="59"/>
      <c r="D1" s="59"/>
      <c r="E1" s="59"/>
      <c r="F1" s="59"/>
      <c r="G1" s="59"/>
      <c r="H1" s="59"/>
      <c r="I1" s="59"/>
      <c r="J1" s="59"/>
      <c r="K1" s="59"/>
    </row>
    <row r="2" spans="2:21" ht="14.5" customHeight="1">
      <c r="B2" s="60"/>
      <c r="C2" s="60"/>
      <c r="D2" s="60"/>
      <c r="E2" s="60"/>
      <c r="F2" s="60"/>
      <c r="G2" s="60"/>
      <c r="H2" s="60"/>
      <c r="I2" s="60"/>
      <c r="J2" s="60"/>
      <c r="K2" s="60"/>
    </row>
    <row r="3" spans="2:21">
      <c r="B3" s="1" t="s">
        <v>0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1</v>
      </c>
      <c r="J3" s="1" t="s">
        <v>2</v>
      </c>
      <c r="K3" s="1" t="s">
        <v>3</v>
      </c>
    </row>
    <row r="4" spans="2:21">
      <c r="B4" s="2" t="s">
        <v>4</v>
      </c>
      <c r="C4" s="2">
        <v>0</v>
      </c>
      <c r="D4" s="2">
        <v>1461</v>
      </c>
      <c r="E4" s="2">
        <v>1654</v>
      </c>
      <c r="F4" s="2">
        <v>1272</v>
      </c>
      <c r="G4" s="2">
        <v>1525</v>
      </c>
      <c r="H4" s="2">
        <v>1157</v>
      </c>
      <c r="I4" s="2">
        <f>SUM(C4:H4)</f>
        <v>7069</v>
      </c>
      <c r="J4" s="2">
        <v>4800</v>
      </c>
      <c r="K4" s="3">
        <f>I4/J4</f>
        <v>1.4727083333333333</v>
      </c>
    </row>
    <row r="5" spans="2:21">
      <c r="B5" s="2" t="s">
        <v>5</v>
      </c>
      <c r="C5" s="2">
        <v>1017</v>
      </c>
      <c r="D5" s="2">
        <v>1529</v>
      </c>
      <c r="E5" s="2">
        <v>1736</v>
      </c>
      <c r="F5" s="2">
        <v>1009</v>
      </c>
      <c r="G5" s="2">
        <v>1274</v>
      </c>
      <c r="H5" s="2">
        <v>1102</v>
      </c>
      <c r="I5" s="2">
        <f t="shared" ref="I5:I10" si="0">SUM(C5:H5)</f>
        <v>7667</v>
      </c>
      <c r="J5" s="2">
        <v>5720</v>
      </c>
      <c r="K5" s="3">
        <f t="shared" ref="K5:K10" si="1">I5/J5</f>
        <v>1.3403846153846153</v>
      </c>
    </row>
    <row r="6" spans="2:21">
      <c r="B6" s="2" t="s">
        <v>6</v>
      </c>
      <c r="C6" s="2">
        <v>1026</v>
      </c>
      <c r="D6" s="2">
        <v>1421</v>
      </c>
      <c r="E6" s="2">
        <v>1533</v>
      </c>
      <c r="F6" s="2">
        <v>1056</v>
      </c>
      <c r="G6" s="2">
        <v>1240</v>
      </c>
      <c r="H6" s="2">
        <v>1026</v>
      </c>
      <c r="I6" s="2">
        <f t="shared" si="0"/>
        <v>7302</v>
      </c>
      <c r="J6" s="2">
        <v>5720</v>
      </c>
      <c r="K6" s="3">
        <f t="shared" si="1"/>
        <v>1.2765734265734265</v>
      </c>
      <c r="T6" t="s">
        <v>21</v>
      </c>
    </row>
    <row r="7" spans="2:21">
      <c r="B7" s="2" t="s">
        <v>7</v>
      </c>
      <c r="C7" s="2">
        <v>513</v>
      </c>
      <c r="D7" s="2">
        <v>1166</v>
      </c>
      <c r="E7" s="2">
        <v>1286</v>
      </c>
      <c r="F7" s="2">
        <v>995</v>
      </c>
      <c r="G7" s="2">
        <v>1024</v>
      </c>
      <c r="H7" s="2">
        <v>900</v>
      </c>
      <c r="I7" s="2">
        <f t="shared" si="0"/>
        <v>5884</v>
      </c>
      <c r="J7" s="2">
        <v>5720</v>
      </c>
      <c r="K7" s="3">
        <f t="shared" si="1"/>
        <v>1.0286713286713287</v>
      </c>
    </row>
    <row r="8" spans="2:21">
      <c r="B8" s="2" t="s">
        <v>8</v>
      </c>
      <c r="C8" s="2">
        <v>595</v>
      </c>
      <c r="D8" s="2">
        <v>1182</v>
      </c>
      <c r="E8" s="2">
        <v>1503</v>
      </c>
      <c r="F8" s="2">
        <v>1054</v>
      </c>
      <c r="G8" s="2">
        <v>1271</v>
      </c>
      <c r="H8" s="2">
        <v>970</v>
      </c>
      <c r="I8" s="2">
        <f t="shared" si="0"/>
        <v>6575</v>
      </c>
      <c r="J8" s="2">
        <v>5720</v>
      </c>
      <c r="K8" s="3">
        <f t="shared" si="1"/>
        <v>1.1494755244755244</v>
      </c>
    </row>
    <row r="9" spans="2:21">
      <c r="B9" s="2" t="s">
        <v>9</v>
      </c>
      <c r="C9" s="2">
        <v>527</v>
      </c>
      <c r="D9" s="2">
        <v>1057</v>
      </c>
      <c r="E9" s="2">
        <v>1051</v>
      </c>
      <c r="F9" s="2">
        <v>731</v>
      </c>
      <c r="G9" s="2">
        <v>994</v>
      </c>
      <c r="H9" s="2">
        <v>649</v>
      </c>
      <c r="I9" s="2">
        <f t="shared" si="0"/>
        <v>5009</v>
      </c>
      <c r="J9" s="2">
        <v>5720</v>
      </c>
      <c r="K9" s="3">
        <f t="shared" si="1"/>
        <v>0.87569930069930069</v>
      </c>
    </row>
    <row r="10" spans="2:21" ht="21">
      <c r="B10" s="2" t="s">
        <v>10</v>
      </c>
      <c r="C10" s="2">
        <v>3678</v>
      </c>
      <c r="D10" s="2">
        <v>7816</v>
      </c>
      <c r="E10" s="2">
        <v>8763</v>
      </c>
      <c r="F10" s="2">
        <v>6117</v>
      </c>
      <c r="G10" s="2">
        <f>SUM(G4:G9)</f>
        <v>7328</v>
      </c>
      <c r="H10" s="2">
        <f>SUM(H4:H9)</f>
        <v>5804</v>
      </c>
      <c r="I10" s="2">
        <f t="shared" si="0"/>
        <v>39506</v>
      </c>
      <c r="J10" s="2">
        <f>SUM(J4:J9)</f>
        <v>33400</v>
      </c>
      <c r="K10" s="19">
        <f t="shared" si="1"/>
        <v>1.182814371257485</v>
      </c>
      <c r="N10" s="63" t="s">
        <v>14</v>
      </c>
      <c r="O10" s="63"/>
      <c r="P10" s="63"/>
      <c r="Q10" s="63"/>
      <c r="R10" s="63"/>
      <c r="S10" s="63"/>
      <c r="T10" s="63"/>
      <c r="U10" s="63"/>
    </row>
    <row r="11" spans="2:21">
      <c r="N11" s="5" t="s">
        <v>0</v>
      </c>
      <c r="O11" s="5" t="s">
        <v>15</v>
      </c>
      <c r="P11" s="5" t="s">
        <v>16</v>
      </c>
      <c r="Q11" s="5" t="s">
        <v>17</v>
      </c>
      <c r="R11" s="5" t="s">
        <v>18</v>
      </c>
      <c r="S11" s="5" t="s">
        <v>1</v>
      </c>
      <c r="T11" s="5" t="s">
        <v>2</v>
      </c>
      <c r="U11" s="5" t="s">
        <v>19</v>
      </c>
    </row>
    <row r="12" spans="2:21">
      <c r="N12" s="4" t="s">
        <v>4</v>
      </c>
      <c r="O12" s="4">
        <v>569</v>
      </c>
      <c r="P12" s="4">
        <v>299</v>
      </c>
      <c r="Q12" s="4">
        <v>301</v>
      </c>
      <c r="R12" s="4">
        <v>233</v>
      </c>
      <c r="S12" s="4">
        <f t="shared" ref="S12:S18" si="2">SUM(O12:R12)</f>
        <v>1402</v>
      </c>
      <c r="T12" s="4">
        <v>960</v>
      </c>
      <c r="U12" s="6">
        <f>S12/T12</f>
        <v>1.4604166666666667</v>
      </c>
    </row>
    <row r="13" spans="2:21">
      <c r="N13" s="4" t="s">
        <v>5</v>
      </c>
      <c r="O13" s="4">
        <v>230</v>
      </c>
      <c r="P13" s="4">
        <v>225</v>
      </c>
      <c r="Q13" s="4">
        <v>240</v>
      </c>
      <c r="R13" s="4">
        <v>261</v>
      </c>
      <c r="S13" s="4">
        <f t="shared" si="2"/>
        <v>956</v>
      </c>
      <c r="T13" s="4">
        <v>960</v>
      </c>
      <c r="U13" s="6">
        <f>S13/T13</f>
        <v>0.99583333333333335</v>
      </c>
    </row>
    <row r="14" spans="2:21">
      <c r="B14" s="61" t="s">
        <v>12</v>
      </c>
      <c r="C14" s="61"/>
      <c r="D14" s="61"/>
      <c r="E14" s="61"/>
      <c r="F14" s="61"/>
      <c r="G14" s="61"/>
      <c r="H14" s="61"/>
      <c r="I14" s="61"/>
      <c r="J14" s="61"/>
      <c r="K14" s="61"/>
      <c r="N14" s="4" t="s">
        <v>6</v>
      </c>
      <c r="O14" s="4">
        <v>356</v>
      </c>
      <c r="P14" s="4">
        <v>275</v>
      </c>
      <c r="Q14" s="4">
        <v>318</v>
      </c>
      <c r="R14" s="4">
        <v>236</v>
      </c>
      <c r="S14" s="4">
        <f t="shared" si="2"/>
        <v>1185</v>
      </c>
      <c r="T14" s="4">
        <v>960</v>
      </c>
      <c r="U14" s="6">
        <f>S14/T14</f>
        <v>1.234375</v>
      </c>
    </row>
    <row r="15" spans="2:21">
      <c r="B15" s="62"/>
      <c r="C15" s="62"/>
      <c r="D15" s="62"/>
      <c r="E15" s="62"/>
      <c r="F15" s="62"/>
      <c r="G15" s="62"/>
      <c r="H15" s="62"/>
      <c r="I15" s="62"/>
      <c r="J15" s="62"/>
      <c r="K15" s="62"/>
      <c r="N15" s="4" t="s">
        <v>7</v>
      </c>
      <c r="O15" s="4">
        <v>182</v>
      </c>
      <c r="P15" s="4">
        <v>296</v>
      </c>
      <c r="Q15" s="4">
        <v>215</v>
      </c>
      <c r="R15" s="4">
        <v>248</v>
      </c>
      <c r="S15" s="4">
        <f t="shared" si="2"/>
        <v>941</v>
      </c>
      <c r="T15" s="4">
        <v>960</v>
      </c>
      <c r="U15" s="7">
        <f>+S15/T15</f>
        <v>0.98020833333333335</v>
      </c>
    </row>
    <row r="16" spans="2:21" ht="14.5" customHeight="1">
      <c r="B16" s="1" t="s">
        <v>0</v>
      </c>
      <c r="C16" s="1" t="s">
        <v>22</v>
      </c>
      <c r="D16" s="1" t="s">
        <v>23</v>
      </c>
      <c r="E16" s="1" t="s">
        <v>24</v>
      </c>
      <c r="F16" s="1" t="s">
        <v>25</v>
      </c>
      <c r="G16" s="1" t="s">
        <v>26</v>
      </c>
      <c r="H16" s="1" t="s">
        <v>27</v>
      </c>
      <c r="I16" s="1" t="s">
        <v>1</v>
      </c>
      <c r="J16" s="1" t="s">
        <v>2</v>
      </c>
      <c r="K16" s="1" t="s">
        <v>3</v>
      </c>
      <c r="N16" s="4" t="s">
        <v>8</v>
      </c>
      <c r="O16" s="4">
        <v>287</v>
      </c>
      <c r="P16" s="4">
        <v>313</v>
      </c>
      <c r="Q16" s="4">
        <v>304</v>
      </c>
      <c r="R16" s="4">
        <v>257</v>
      </c>
      <c r="S16" s="4">
        <f t="shared" si="2"/>
        <v>1161</v>
      </c>
      <c r="T16" s="4">
        <v>960</v>
      </c>
      <c r="U16" s="6">
        <f>+S16/T16</f>
        <v>1.2093750000000001</v>
      </c>
    </row>
    <row r="17" spans="2:21">
      <c r="B17" s="2" t="s">
        <v>4</v>
      </c>
      <c r="C17" s="2">
        <v>0</v>
      </c>
      <c r="D17" s="2">
        <v>1099</v>
      </c>
      <c r="E17" s="2">
        <v>200</v>
      </c>
      <c r="F17" s="2">
        <v>86</v>
      </c>
      <c r="G17" s="2">
        <v>108</v>
      </c>
      <c r="H17" s="2">
        <v>135</v>
      </c>
      <c r="I17" s="2">
        <f>SUM(C17:H17)</f>
        <v>1628</v>
      </c>
      <c r="J17" s="2">
        <v>2400</v>
      </c>
      <c r="K17" s="3">
        <f>I17/J17</f>
        <v>0.67833333333333334</v>
      </c>
      <c r="N17" s="4" t="s">
        <v>9</v>
      </c>
      <c r="O17" s="4">
        <v>238</v>
      </c>
      <c r="P17" s="4">
        <v>255</v>
      </c>
      <c r="Q17" s="4">
        <v>209</v>
      </c>
      <c r="R17" s="4">
        <v>257</v>
      </c>
      <c r="S17" s="4">
        <f t="shared" si="2"/>
        <v>959</v>
      </c>
      <c r="T17" s="4">
        <v>960</v>
      </c>
      <c r="U17" s="6">
        <f>+S17/T17</f>
        <v>0.99895833333333328</v>
      </c>
    </row>
    <row r="18" spans="2:21">
      <c r="B18" s="2" t="s">
        <v>5</v>
      </c>
      <c r="C18" s="2">
        <v>473</v>
      </c>
      <c r="D18" s="2">
        <v>753</v>
      </c>
      <c r="E18" s="2">
        <v>349</v>
      </c>
      <c r="F18" s="2">
        <v>185</v>
      </c>
      <c r="G18" s="2">
        <v>281</v>
      </c>
      <c r="H18" s="2">
        <v>282</v>
      </c>
      <c r="I18" s="2">
        <f t="shared" ref="I18:I23" si="3">SUM(C18:H18)</f>
        <v>2323</v>
      </c>
      <c r="J18" s="2">
        <v>2880</v>
      </c>
      <c r="K18" s="3">
        <f t="shared" ref="K18:K23" si="4">I18/J18</f>
        <v>0.80659722222222219</v>
      </c>
      <c r="N18" s="5" t="s">
        <v>20</v>
      </c>
      <c r="O18" s="5">
        <v>1862</v>
      </c>
      <c r="P18" s="5">
        <v>1663</v>
      </c>
      <c r="Q18" s="5">
        <v>1587</v>
      </c>
      <c r="R18" s="4">
        <v>1492</v>
      </c>
      <c r="S18" s="4">
        <f t="shared" si="2"/>
        <v>6604</v>
      </c>
      <c r="T18" s="4">
        <f>SUM(T12:T17)</f>
        <v>5760</v>
      </c>
      <c r="U18" s="8">
        <f>+S18/T18</f>
        <v>1.1465277777777778</v>
      </c>
    </row>
    <row r="19" spans="2:21">
      <c r="B19" s="2" t="s">
        <v>6</v>
      </c>
      <c r="C19" s="2">
        <v>526</v>
      </c>
      <c r="D19" s="2">
        <v>308</v>
      </c>
      <c r="E19" s="2">
        <v>220</v>
      </c>
      <c r="F19" s="2">
        <v>127</v>
      </c>
      <c r="G19" s="2">
        <v>275</v>
      </c>
      <c r="H19" s="2">
        <v>361</v>
      </c>
      <c r="I19" s="2">
        <f t="shared" si="3"/>
        <v>1817</v>
      </c>
      <c r="J19" s="2">
        <v>2880</v>
      </c>
      <c r="K19" s="3">
        <f t="shared" si="4"/>
        <v>0.63090277777777781</v>
      </c>
    </row>
    <row r="20" spans="2:21">
      <c r="B20" s="2" t="s">
        <v>7</v>
      </c>
      <c r="C20" s="2">
        <v>630</v>
      </c>
      <c r="D20" s="2">
        <v>556</v>
      </c>
      <c r="E20" s="2">
        <v>131</v>
      </c>
      <c r="F20" s="2">
        <v>123</v>
      </c>
      <c r="G20" s="2">
        <v>81</v>
      </c>
      <c r="H20" s="2">
        <v>132</v>
      </c>
      <c r="I20" s="2">
        <f t="shared" si="3"/>
        <v>1653</v>
      </c>
      <c r="J20" s="2">
        <v>2880</v>
      </c>
      <c r="K20" s="3">
        <f t="shared" si="4"/>
        <v>0.57395833333333335</v>
      </c>
    </row>
    <row r="21" spans="2:21">
      <c r="B21" s="2" t="s">
        <v>8</v>
      </c>
      <c r="C21" s="2">
        <v>557</v>
      </c>
      <c r="D21" s="2">
        <v>180</v>
      </c>
      <c r="E21" s="2">
        <v>10</v>
      </c>
      <c r="F21" s="2">
        <v>10</v>
      </c>
      <c r="G21" s="2">
        <v>6</v>
      </c>
      <c r="H21" s="2">
        <v>7</v>
      </c>
      <c r="I21" s="2">
        <f t="shared" si="3"/>
        <v>770</v>
      </c>
      <c r="J21" s="2">
        <v>2880</v>
      </c>
      <c r="K21" s="3">
        <f t="shared" si="4"/>
        <v>0.2673611111111111</v>
      </c>
    </row>
    <row r="22" spans="2:21">
      <c r="B22" s="2" t="s">
        <v>9</v>
      </c>
      <c r="C22" s="2">
        <v>283</v>
      </c>
      <c r="D22" s="2">
        <v>77</v>
      </c>
      <c r="E22" s="2">
        <v>3</v>
      </c>
      <c r="F22" s="2">
        <v>3</v>
      </c>
      <c r="G22" s="2">
        <v>6</v>
      </c>
      <c r="H22" s="2">
        <v>6</v>
      </c>
      <c r="I22" s="2">
        <f t="shared" si="3"/>
        <v>378</v>
      </c>
      <c r="J22" s="2">
        <v>2880</v>
      </c>
      <c r="K22" s="3">
        <f t="shared" si="4"/>
        <v>0.13125000000000001</v>
      </c>
    </row>
    <row r="23" spans="2:21">
      <c r="B23" s="2" t="s">
        <v>13</v>
      </c>
      <c r="C23" s="2">
        <v>2469</v>
      </c>
      <c r="D23" s="2">
        <v>2973</v>
      </c>
      <c r="E23" s="2">
        <v>913</v>
      </c>
      <c r="F23" s="2">
        <v>534</v>
      </c>
      <c r="G23" s="2">
        <f>SUM(G17:G22)</f>
        <v>757</v>
      </c>
      <c r="H23" s="2">
        <f>SUM(H17:H22)</f>
        <v>923</v>
      </c>
      <c r="I23" s="2">
        <f t="shared" si="3"/>
        <v>8569</v>
      </c>
      <c r="J23" s="2">
        <f>+SUM(J17:J22)</f>
        <v>16800</v>
      </c>
      <c r="K23" s="19">
        <f t="shared" si="4"/>
        <v>0.5100595238095238</v>
      </c>
    </row>
    <row r="26" spans="2:21" hidden="1"/>
    <row r="27" spans="2:21" hidden="1"/>
    <row r="29" spans="2:21" ht="18.5" customHeight="1">
      <c r="B29" s="56" t="s">
        <v>38</v>
      </c>
      <c r="C29" s="57"/>
      <c r="D29" s="57"/>
      <c r="E29" s="58"/>
    </row>
    <row r="30" spans="2:21" ht="18.5">
      <c r="B30" s="17" t="s">
        <v>39</v>
      </c>
      <c r="C30" s="17" t="s">
        <v>40</v>
      </c>
      <c r="D30" s="17" t="s">
        <v>41</v>
      </c>
      <c r="E30" s="17" t="s">
        <v>42</v>
      </c>
    </row>
    <row r="31" spans="2:21" ht="18.5">
      <c r="B31" s="17" t="s">
        <v>43</v>
      </c>
      <c r="C31" s="17">
        <v>39506</v>
      </c>
      <c r="D31" s="17">
        <v>33400</v>
      </c>
      <c r="E31" s="18">
        <f>+C31/D31</f>
        <v>1.182814371257485</v>
      </c>
    </row>
    <row r="32" spans="2:21" ht="18.5">
      <c r="B32" s="17" t="s">
        <v>44</v>
      </c>
      <c r="C32" s="17">
        <v>8569</v>
      </c>
      <c r="D32" s="17">
        <v>16800</v>
      </c>
      <c r="E32" s="18">
        <f>+C32/D32</f>
        <v>0.5100595238095238</v>
      </c>
    </row>
    <row r="33" ht="18.5" customHeight="1"/>
    <row r="36" ht="18.5" customHeight="1"/>
    <row r="37" ht="37" customHeight="1"/>
  </sheetData>
  <mergeCells count="4">
    <mergeCell ref="B29:E29"/>
    <mergeCell ref="B1:K2"/>
    <mergeCell ref="B14:K15"/>
    <mergeCell ref="N10:U10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 BILAN LOUMA PHASE1 SIM&amp;OM'!C3:C3</xm:f>
              <xm:sqref>C3</xm:sqref>
            </x14:sparkline>
            <x14:sparkline>
              <xm:f>' BILAN LOUMA PHASE1 SIM&amp;OM'!D3:D3</xm:f>
              <xm:sqref>D3</xm:sqref>
            </x14:sparkline>
            <x14:sparkline>
              <xm:f>' BILAN LOUMA PHASE1 SIM&amp;OM'!E3:E3</xm:f>
              <xm:sqref>E3</xm:sqref>
            </x14:sparkline>
            <x14:sparkline>
              <xm:f>' BILAN LOUMA PHASE1 SIM&amp;OM'!F3:F3</xm:f>
              <xm:sqref>F3</xm:sqref>
            </x14:sparkline>
            <x14:sparkline>
              <xm:f>' BILAN LOUMA PHASE1 SIM&amp;OM'!G3:G3</xm:f>
              <xm:sqref>G3</xm:sqref>
            </x14:sparkline>
            <x14:sparkline>
              <xm:f>' BILAN LOUMA PHASE1 SIM&amp;OM'!H3:H3</xm:f>
              <xm:sqref>H3</xm:sqref>
            </x14:sparkline>
          </x14:sparklines>
        </x14:sparklineGroup>
        <x14:sparklineGroup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 BILAN LOUMA PHASE1 SIM&amp;OM'!C16:C16</xm:f>
              <xm:sqref>C16</xm:sqref>
            </x14:sparkline>
            <x14:sparkline>
              <xm:f>' BILAN LOUMA PHASE1 SIM&amp;OM'!D16:D16</xm:f>
              <xm:sqref>D16</xm:sqref>
            </x14:sparkline>
            <x14:sparkline>
              <xm:f>' BILAN LOUMA PHASE1 SIM&amp;OM'!E16:E16</xm:f>
              <xm:sqref>E16</xm:sqref>
            </x14:sparkline>
            <x14:sparkline>
              <xm:f>' BILAN LOUMA PHASE1 SIM&amp;OM'!F16:F16</xm:f>
              <xm:sqref>F16</xm:sqref>
            </x14:sparkline>
            <x14:sparkline>
              <xm:f>' BILAN LOUMA PHASE1 SIM&amp;OM'!G16:G16</xm:f>
              <xm:sqref>G16</xm:sqref>
            </x14:sparkline>
            <x14:sparkline>
              <xm:f>' BILAN LOUMA PHASE1 SIM&amp;OM'!H16:H16</xm:f>
              <xm:sqref>H16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4"/>
  <sheetViews>
    <sheetView topLeftCell="A29" workbookViewId="0">
      <selection activeCell="E30" sqref="E30:H31"/>
    </sheetView>
  </sheetViews>
  <sheetFormatPr baseColWidth="10" defaultRowHeight="14.5"/>
  <cols>
    <col min="3" max="3" width="15.453125" bestFit="1" customWidth="1"/>
    <col min="10" max="10" width="11.36328125" customWidth="1"/>
  </cols>
  <sheetData>
    <row r="1" spans="2:16" ht="15" thickBot="1"/>
    <row r="2" spans="2:16">
      <c r="E2" s="77" t="s">
        <v>69</v>
      </c>
      <c r="F2" s="78"/>
      <c r="G2" s="78"/>
      <c r="H2" s="79"/>
    </row>
    <row r="3" spans="2:16" ht="15" thickBot="1">
      <c r="E3" s="80"/>
      <c r="F3" s="81"/>
      <c r="G3" s="81"/>
      <c r="H3" s="82"/>
    </row>
    <row r="4" spans="2:16" ht="15" thickBot="1"/>
    <row r="5" spans="2:16">
      <c r="B5" s="25"/>
      <c r="C5" s="74" t="s">
        <v>49</v>
      </c>
      <c r="D5" s="65"/>
      <c r="E5" s="64" t="s">
        <v>50</v>
      </c>
      <c r="F5" s="65"/>
      <c r="G5" s="64" t="s">
        <v>51</v>
      </c>
      <c r="H5" s="65"/>
      <c r="I5" s="64" t="s">
        <v>52</v>
      </c>
      <c r="J5" s="65"/>
      <c r="K5" s="64" t="s">
        <v>53</v>
      </c>
      <c r="L5" s="65"/>
      <c r="M5" s="64" t="s">
        <v>54</v>
      </c>
      <c r="N5" s="65"/>
      <c r="O5" s="64" t="s">
        <v>55</v>
      </c>
      <c r="P5" s="65"/>
    </row>
    <row r="6" spans="2:16" ht="15" thickBot="1">
      <c r="B6" s="26"/>
      <c r="C6" s="27" t="s">
        <v>56</v>
      </c>
      <c r="D6" s="28" t="s">
        <v>57</v>
      </c>
      <c r="E6" s="27" t="s">
        <v>56</v>
      </c>
      <c r="F6" s="28" t="s">
        <v>57</v>
      </c>
      <c r="G6" s="27" t="s">
        <v>56</v>
      </c>
      <c r="H6" s="28" t="s">
        <v>57</v>
      </c>
      <c r="I6" s="27" t="s">
        <v>56</v>
      </c>
      <c r="J6" s="28" t="s">
        <v>57</v>
      </c>
      <c r="K6" s="27" t="s">
        <v>56</v>
      </c>
      <c r="L6" s="28" t="s">
        <v>57</v>
      </c>
      <c r="M6" s="27" t="s">
        <v>56</v>
      </c>
      <c r="N6" s="28" t="s">
        <v>57</v>
      </c>
      <c r="O6" s="27" t="s">
        <v>56</v>
      </c>
      <c r="P6" s="28" t="s">
        <v>57</v>
      </c>
    </row>
    <row r="7" spans="2:16">
      <c r="B7" s="29" t="s">
        <v>58</v>
      </c>
      <c r="C7" s="30"/>
      <c r="D7" s="31"/>
      <c r="E7" s="32">
        <v>138.66999999999999</v>
      </c>
      <c r="F7" s="31">
        <v>104698</v>
      </c>
      <c r="G7" s="32">
        <v>132.78</v>
      </c>
      <c r="H7" s="31">
        <v>100252</v>
      </c>
      <c r="I7" s="32">
        <v>138.91</v>
      </c>
      <c r="J7" s="31">
        <v>104875</v>
      </c>
      <c r="K7" s="32">
        <v>137.9</v>
      </c>
      <c r="L7" s="31">
        <v>104116</v>
      </c>
      <c r="M7" s="32">
        <v>140.06</v>
      </c>
      <c r="N7" s="31">
        <v>105746</v>
      </c>
      <c r="O7" s="32">
        <v>116.16</v>
      </c>
      <c r="P7" s="31">
        <v>87700</v>
      </c>
    </row>
    <row r="8" spans="2:16">
      <c r="B8" s="29" t="s">
        <v>59</v>
      </c>
      <c r="C8" s="32">
        <v>199.19</v>
      </c>
      <c r="D8" s="31">
        <v>150380</v>
      </c>
      <c r="E8" s="32">
        <v>299.52999999999997</v>
      </c>
      <c r="F8" s="31">
        <v>226140</v>
      </c>
      <c r="G8" s="32">
        <v>393.96</v>
      </c>
      <c r="H8" s="31">
        <v>297425</v>
      </c>
      <c r="I8" s="32">
        <v>400</v>
      </c>
      <c r="J8" s="31">
        <v>301973</v>
      </c>
      <c r="K8" s="32">
        <v>397.37</v>
      </c>
      <c r="L8" s="31">
        <v>300013</v>
      </c>
      <c r="M8" s="32">
        <v>398.87</v>
      </c>
      <c r="N8" s="31">
        <v>301140</v>
      </c>
      <c r="O8" s="32">
        <v>387.77</v>
      </c>
      <c r="P8" s="31">
        <v>292750</v>
      </c>
    </row>
    <row r="9" spans="2:16">
      <c r="B9" s="29" t="s">
        <v>60</v>
      </c>
      <c r="C9" s="32">
        <v>99.09</v>
      </c>
      <c r="D9" s="31">
        <v>74813</v>
      </c>
      <c r="E9" s="32">
        <v>388.71</v>
      </c>
      <c r="F9" s="31">
        <v>293475</v>
      </c>
      <c r="G9" s="32">
        <v>394.62</v>
      </c>
      <c r="H9" s="31">
        <v>297935</v>
      </c>
      <c r="I9" s="32">
        <v>346.7</v>
      </c>
      <c r="J9" s="31">
        <v>261765</v>
      </c>
      <c r="K9" s="32">
        <v>286.39</v>
      </c>
      <c r="L9" s="31">
        <v>216228</v>
      </c>
      <c r="M9" s="32">
        <v>399.97</v>
      </c>
      <c r="N9" s="31">
        <v>301978</v>
      </c>
      <c r="O9" s="32">
        <v>399.76</v>
      </c>
      <c r="P9" s="31">
        <v>301825</v>
      </c>
    </row>
    <row r="10" spans="2:16">
      <c r="B10" s="29" t="s">
        <v>61</v>
      </c>
      <c r="C10" s="32">
        <v>142.72</v>
      </c>
      <c r="D10" s="31">
        <v>107750</v>
      </c>
      <c r="E10" s="32">
        <v>399.14</v>
      </c>
      <c r="F10" s="31">
        <v>301338</v>
      </c>
      <c r="G10" s="32">
        <v>399.88</v>
      </c>
      <c r="H10" s="31">
        <v>301893</v>
      </c>
      <c r="I10" s="32">
        <v>499.39</v>
      </c>
      <c r="J10" s="31">
        <v>377038</v>
      </c>
      <c r="K10" s="32">
        <v>403</v>
      </c>
      <c r="L10" s="31">
        <v>304265</v>
      </c>
      <c r="M10" s="32">
        <v>499.64</v>
      </c>
      <c r="N10" s="31">
        <v>377228</v>
      </c>
      <c r="O10" s="32">
        <v>500</v>
      </c>
      <c r="P10" s="31">
        <v>377500</v>
      </c>
    </row>
    <row r="11" spans="2:16">
      <c r="B11" s="29" t="s">
        <v>62</v>
      </c>
      <c r="C11" s="32">
        <v>161.96</v>
      </c>
      <c r="D11" s="31">
        <v>122280</v>
      </c>
      <c r="E11" s="32">
        <v>397.01</v>
      </c>
      <c r="F11" s="31">
        <v>299747</v>
      </c>
      <c r="G11" s="32">
        <v>399.94</v>
      </c>
      <c r="H11" s="31">
        <v>301947</v>
      </c>
      <c r="I11" s="32">
        <v>299.2</v>
      </c>
      <c r="J11" s="31">
        <v>225902</v>
      </c>
      <c r="K11" s="32">
        <v>233.35</v>
      </c>
      <c r="L11" s="31">
        <v>176181</v>
      </c>
      <c r="M11" s="30"/>
      <c r="N11" s="31"/>
      <c r="O11" s="30"/>
      <c r="P11" s="31"/>
    </row>
    <row r="12" spans="2:16" ht="15" thickBot="1">
      <c r="B12" s="29" t="s">
        <v>63</v>
      </c>
      <c r="C12" s="32">
        <v>163.72999999999999</v>
      </c>
      <c r="D12" s="31">
        <v>123618</v>
      </c>
      <c r="E12" s="32">
        <v>299.64</v>
      </c>
      <c r="F12" s="31">
        <v>226230</v>
      </c>
      <c r="G12" s="32">
        <v>549.53</v>
      </c>
      <c r="H12" s="31">
        <v>414895</v>
      </c>
      <c r="I12" s="32">
        <v>549.95000000000005</v>
      </c>
      <c r="J12" s="31">
        <v>415218</v>
      </c>
      <c r="K12" s="32">
        <v>490.47</v>
      </c>
      <c r="L12" s="31">
        <v>370306</v>
      </c>
      <c r="M12" s="32">
        <v>549.79</v>
      </c>
      <c r="N12" s="31">
        <v>415095</v>
      </c>
      <c r="O12" s="32">
        <v>549.66</v>
      </c>
      <c r="P12" s="31">
        <v>414985</v>
      </c>
    </row>
    <row r="13" spans="2:16" ht="15" thickBot="1">
      <c r="B13" s="33" t="s">
        <v>64</v>
      </c>
      <c r="C13" s="34">
        <v>766.69</v>
      </c>
      <c r="D13" s="35">
        <v>578841</v>
      </c>
      <c r="E13" s="34">
        <v>1922.7</v>
      </c>
      <c r="F13" s="35">
        <v>1451628</v>
      </c>
      <c r="G13" s="34">
        <v>2270.71</v>
      </c>
      <c r="H13" s="35">
        <v>1714347</v>
      </c>
      <c r="I13" s="34">
        <v>2234.15</v>
      </c>
      <c r="J13" s="35">
        <v>1686771</v>
      </c>
      <c r="K13" s="34">
        <v>1948.48</v>
      </c>
      <c r="L13" s="35">
        <v>1471109</v>
      </c>
      <c r="M13" s="34">
        <v>1988.33</v>
      </c>
      <c r="N13" s="35">
        <v>1501187</v>
      </c>
      <c r="O13" s="34">
        <v>1953.35</v>
      </c>
      <c r="P13" s="35">
        <v>1474760</v>
      </c>
    </row>
    <row r="17" spans="4:16" ht="15" thickBot="1"/>
    <row r="18" spans="4:16" ht="15" thickBot="1">
      <c r="D18" t="s">
        <v>70</v>
      </c>
      <c r="E18" s="83" t="s">
        <v>71</v>
      </c>
      <c r="F18" s="84"/>
      <c r="G18" s="70" t="s">
        <v>0</v>
      </c>
      <c r="H18" s="72" t="s">
        <v>65</v>
      </c>
      <c r="I18" s="66" t="s">
        <v>20</v>
      </c>
      <c r="J18" s="67"/>
      <c r="L18">
        <f>+SUM(D13+F13+H13+J13+L13)</f>
        <v>6902696</v>
      </c>
      <c r="N18">
        <f>+SUM(L18+N13+P13)</f>
        <v>9878643</v>
      </c>
    </row>
    <row r="19" spans="4:16" ht="15" thickBot="1">
      <c r="E19" s="83"/>
      <c r="F19" s="84"/>
      <c r="G19" s="71"/>
      <c r="H19" s="73"/>
      <c r="I19" s="38" t="s">
        <v>66</v>
      </c>
      <c r="J19" s="39" t="s">
        <v>67</v>
      </c>
      <c r="P19">
        <f>+SUM(N13+P13)</f>
        <v>2975947</v>
      </c>
    </row>
    <row r="20" spans="4:16">
      <c r="G20" s="36" t="s">
        <v>4</v>
      </c>
      <c r="H20" s="43" t="s">
        <v>58</v>
      </c>
      <c r="I20" s="49">
        <f>+SUM(E7+G7+I7+K7+M7+O7)</f>
        <v>804.4799999999999</v>
      </c>
      <c r="J20" s="47">
        <f>+SUM(F7+H7+J7+L7+N7+P7)</f>
        <v>607387</v>
      </c>
    </row>
    <row r="21" spans="4:16">
      <c r="G21" s="36" t="s">
        <v>5</v>
      </c>
      <c r="H21" s="29" t="s">
        <v>59</v>
      </c>
      <c r="I21" s="50">
        <f t="shared" ref="I21:J23" si="0">+SUM(C8+E8+G8+I8+K8+M8+O8)</f>
        <v>2476.6899999999996</v>
      </c>
      <c r="J21" s="46">
        <f t="shared" si="0"/>
        <v>1869821</v>
      </c>
    </row>
    <row r="22" spans="4:16">
      <c r="G22" s="36" t="s">
        <v>6</v>
      </c>
      <c r="H22" s="44" t="s">
        <v>60</v>
      </c>
      <c r="I22" s="50">
        <f t="shared" si="0"/>
        <v>2315.2399999999998</v>
      </c>
      <c r="J22" s="45">
        <f t="shared" si="0"/>
        <v>1748019</v>
      </c>
    </row>
    <row r="23" spans="4:16">
      <c r="G23" s="36" t="s">
        <v>9</v>
      </c>
      <c r="H23" s="44" t="s">
        <v>61</v>
      </c>
      <c r="I23" s="50">
        <f t="shared" si="0"/>
        <v>2843.77</v>
      </c>
      <c r="J23" s="37">
        <f t="shared" si="0"/>
        <v>2147012</v>
      </c>
    </row>
    <row r="24" spans="4:16">
      <c r="G24" s="36" t="s">
        <v>8</v>
      </c>
      <c r="H24" s="44" t="s">
        <v>62</v>
      </c>
      <c r="I24" s="50">
        <f>+SUM(C11+E11+G11+I11+K11)</f>
        <v>1491.46</v>
      </c>
      <c r="J24" s="37">
        <f>+SUM(D11+F11+H11+J11+L11)</f>
        <v>1126057</v>
      </c>
    </row>
    <row r="25" spans="4:16" ht="15" thickBot="1">
      <c r="G25" s="48" t="s">
        <v>7</v>
      </c>
      <c r="H25" s="42" t="s">
        <v>63</v>
      </c>
      <c r="I25" s="40">
        <f>+SUM(C12+E12+G12+I12+K12+M12+O12)</f>
        <v>3152.7699999999995</v>
      </c>
      <c r="J25" s="37">
        <f>+SUM(D12+F12+H12+J12+L12+N12+P12)</f>
        <v>2380347</v>
      </c>
    </row>
    <row r="26" spans="4:16" ht="15" thickBot="1">
      <c r="G26" s="68" t="s">
        <v>20</v>
      </c>
      <c r="H26" s="69"/>
      <c r="I26" s="41">
        <f>+SUM(I20:I25)</f>
        <v>13084.41</v>
      </c>
      <c r="J26" s="41">
        <f>+SUM(J20:J25)</f>
        <v>9878643</v>
      </c>
    </row>
    <row r="29" spans="4:16" ht="15" thickBot="1"/>
    <row r="30" spans="4:16">
      <c r="E30" s="77" t="s">
        <v>72</v>
      </c>
      <c r="F30" s="78"/>
      <c r="G30" s="78"/>
      <c r="H30" s="79"/>
    </row>
    <row r="31" spans="4:16" ht="15" thickBot="1">
      <c r="E31" s="80"/>
      <c r="F31" s="81"/>
      <c r="G31" s="81"/>
      <c r="H31" s="82"/>
    </row>
    <row r="33" spans="1:7" ht="15" thickBot="1"/>
    <row r="34" spans="1:7" ht="15" thickBot="1">
      <c r="B34" s="20" t="s">
        <v>0</v>
      </c>
      <c r="C34" s="21" t="s">
        <v>45</v>
      </c>
      <c r="D34" s="21" t="s">
        <v>46</v>
      </c>
      <c r="E34" s="21" t="s">
        <v>47</v>
      </c>
      <c r="F34" s="21" t="s">
        <v>48</v>
      </c>
      <c r="G34" s="21" t="s">
        <v>20</v>
      </c>
    </row>
    <row r="35" spans="1:7" ht="15" thickBot="1">
      <c r="B35" s="22" t="s">
        <v>6</v>
      </c>
      <c r="C35" s="23">
        <v>2360000</v>
      </c>
      <c r="D35" s="24">
        <v>1888000</v>
      </c>
      <c r="E35" s="24">
        <v>1652000</v>
      </c>
      <c r="F35" s="24">
        <v>1888000</v>
      </c>
      <c r="G35" s="24">
        <v>7788000</v>
      </c>
    </row>
    <row r="36" spans="1:7" ht="15" thickBot="1">
      <c r="B36" s="22" t="s">
        <v>8</v>
      </c>
      <c r="C36" s="23">
        <v>500000</v>
      </c>
      <c r="D36" s="24">
        <v>1200000</v>
      </c>
      <c r="E36" s="24">
        <v>0</v>
      </c>
      <c r="F36" s="24">
        <v>0</v>
      </c>
      <c r="G36" s="24">
        <v>1700000</v>
      </c>
    </row>
    <row r="37" spans="1:7" ht="15" thickBot="1">
      <c r="B37" s="22" t="s">
        <v>7</v>
      </c>
      <c r="C37" s="23">
        <v>100000</v>
      </c>
      <c r="D37" s="24">
        <v>400000</v>
      </c>
      <c r="E37" s="24">
        <v>0</v>
      </c>
      <c r="F37" s="24">
        <v>0</v>
      </c>
      <c r="G37" s="24">
        <v>500000</v>
      </c>
    </row>
    <row r="40" spans="1:7" ht="20">
      <c r="A40" s="85" t="s">
        <v>71</v>
      </c>
      <c r="B40" s="51" t="s">
        <v>0</v>
      </c>
      <c r="C40" s="51" t="s">
        <v>20</v>
      </c>
    </row>
    <row r="41" spans="1:7" ht="20">
      <c r="B41" s="52" t="s">
        <v>6</v>
      </c>
      <c r="C41" s="55">
        <v>7788000</v>
      </c>
    </row>
    <row r="42" spans="1:7" ht="20">
      <c r="B42" s="52" t="s">
        <v>8</v>
      </c>
      <c r="C42" s="53">
        <v>1700000</v>
      </c>
    </row>
    <row r="43" spans="1:7" ht="20">
      <c r="B43" s="52" t="s">
        <v>7</v>
      </c>
      <c r="C43" s="53">
        <v>500000</v>
      </c>
    </row>
    <row r="44" spans="1:7" ht="20">
      <c r="B44" s="52" t="s">
        <v>68</v>
      </c>
      <c r="C44" s="54">
        <f>+SUM(C41:C43)</f>
        <v>9988000</v>
      </c>
    </row>
  </sheetData>
  <mergeCells count="14">
    <mergeCell ref="E2:H3"/>
    <mergeCell ref="E18:F19"/>
    <mergeCell ref="E30:H31"/>
    <mergeCell ref="C5:D5"/>
    <mergeCell ref="E5:F5"/>
    <mergeCell ref="G5:H5"/>
    <mergeCell ref="I5:J5"/>
    <mergeCell ref="K5:L5"/>
    <mergeCell ref="O5:P5"/>
    <mergeCell ref="I18:J18"/>
    <mergeCell ref="G26:H26"/>
    <mergeCell ref="G18:G19"/>
    <mergeCell ref="H18:H19"/>
    <mergeCell ref="M5:N5"/>
  </mergeCells>
  <pageMargins left="0.7" right="0.7" top="0.75" bottom="0.75" header="0.3" footer="0.3"/>
  <pageSetup paperSize="9" orientation="portrait" r:id="rId1"/>
  <ignoredErrors>
    <ignoredError sqref="I24:J2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tabSelected="1" workbookViewId="0">
      <selection activeCell="K7" sqref="K7"/>
    </sheetView>
  </sheetViews>
  <sheetFormatPr baseColWidth="10" defaultRowHeight="14.5"/>
  <sheetData>
    <row r="1" spans="1:10">
      <c r="C1" s="77" t="s">
        <v>73</v>
      </c>
      <c r="D1" s="78"/>
      <c r="E1" s="78"/>
      <c r="F1" s="79"/>
    </row>
    <row r="2" spans="1:10" ht="15" thickBot="1">
      <c r="C2" s="80"/>
      <c r="D2" s="81"/>
      <c r="E2" s="81"/>
      <c r="F2" s="82"/>
    </row>
    <row r="3" spans="1:10">
      <c r="A3" s="9" t="s">
        <v>0</v>
      </c>
      <c r="B3" s="10" t="s">
        <v>28</v>
      </c>
      <c r="C3" s="11" t="s">
        <v>29</v>
      </c>
      <c r="D3" s="11" t="s">
        <v>30</v>
      </c>
      <c r="E3" s="11" t="s">
        <v>23</v>
      </c>
      <c r="F3" s="11" t="s">
        <v>24</v>
      </c>
      <c r="G3" s="11" t="s">
        <v>25</v>
      </c>
      <c r="H3" s="11" t="s">
        <v>26</v>
      </c>
      <c r="I3" s="11" t="s">
        <v>27</v>
      </c>
      <c r="J3" s="11" t="s">
        <v>1</v>
      </c>
    </row>
    <row r="4" spans="1:10" ht="42">
      <c r="A4" s="9" t="s">
        <v>8</v>
      </c>
      <c r="B4" s="12" t="s">
        <v>31</v>
      </c>
      <c r="C4" s="13">
        <v>196875</v>
      </c>
      <c r="D4" s="13">
        <v>645313</v>
      </c>
      <c r="E4" s="13">
        <v>656250</v>
      </c>
      <c r="F4" s="14">
        <v>581875</v>
      </c>
      <c r="G4" s="14">
        <v>578813</v>
      </c>
      <c r="H4" s="14">
        <v>580125</v>
      </c>
      <c r="I4" s="14">
        <v>545125</v>
      </c>
      <c r="J4" s="15">
        <f>+SUM(C4:I4)</f>
        <v>3784376</v>
      </c>
    </row>
    <row r="5" spans="1:10" ht="42">
      <c r="A5" s="9" t="s">
        <v>9</v>
      </c>
      <c r="B5" s="12" t="s">
        <v>32</v>
      </c>
      <c r="C5" s="13">
        <v>134313</v>
      </c>
      <c r="D5" s="13">
        <v>518438</v>
      </c>
      <c r="E5" s="13">
        <v>611188</v>
      </c>
      <c r="F5" s="14">
        <v>551688</v>
      </c>
      <c r="G5" s="13">
        <v>478625</v>
      </c>
      <c r="H5" s="14">
        <v>579250</v>
      </c>
      <c r="I5" s="14">
        <v>444063</v>
      </c>
      <c r="J5" s="15">
        <f t="shared" ref="J5:J10" si="0">+SUM(C5:I5)</f>
        <v>3317565</v>
      </c>
    </row>
    <row r="6" spans="1:10" ht="42">
      <c r="A6" s="9" t="s">
        <v>6</v>
      </c>
      <c r="B6" s="12" t="s">
        <v>33</v>
      </c>
      <c r="C6" s="13">
        <v>196875</v>
      </c>
      <c r="D6" s="13">
        <v>749000</v>
      </c>
      <c r="E6" s="13">
        <v>712250</v>
      </c>
      <c r="F6" s="14">
        <v>673750</v>
      </c>
      <c r="G6" s="13">
        <v>633063</v>
      </c>
      <c r="H6" s="14">
        <v>697811</v>
      </c>
      <c r="I6" s="14">
        <v>727562</v>
      </c>
      <c r="J6" s="15">
        <f t="shared" si="0"/>
        <v>4390311</v>
      </c>
    </row>
    <row r="7" spans="1:10" ht="70">
      <c r="A7" s="9" t="s">
        <v>7</v>
      </c>
      <c r="B7" s="12" t="s">
        <v>34</v>
      </c>
      <c r="C7" s="13">
        <v>196875</v>
      </c>
      <c r="D7" s="13">
        <v>637000</v>
      </c>
      <c r="E7" s="13">
        <v>780063</v>
      </c>
      <c r="F7" s="14">
        <v>634813</v>
      </c>
      <c r="G7" s="13">
        <v>604188</v>
      </c>
      <c r="H7" s="14">
        <v>585375</v>
      </c>
      <c r="I7" s="14">
        <v>605936</v>
      </c>
      <c r="J7" s="15">
        <f t="shared" si="0"/>
        <v>4044250</v>
      </c>
    </row>
    <row r="8" spans="1:10" ht="56">
      <c r="A8" s="9" t="s">
        <v>5</v>
      </c>
      <c r="B8" s="12" t="s">
        <v>35</v>
      </c>
      <c r="C8" s="13">
        <v>177188</v>
      </c>
      <c r="D8" s="13">
        <v>735875</v>
      </c>
      <c r="E8" s="16">
        <v>787500</v>
      </c>
      <c r="F8" s="14">
        <v>722750</v>
      </c>
      <c r="G8" s="13">
        <v>644875</v>
      </c>
      <c r="H8" s="14">
        <v>700437</v>
      </c>
      <c r="I8" s="14">
        <v>688799</v>
      </c>
      <c r="J8" s="15">
        <f t="shared" si="0"/>
        <v>4457424</v>
      </c>
    </row>
    <row r="9" spans="1:10" ht="70">
      <c r="A9" s="9" t="s">
        <v>4</v>
      </c>
      <c r="B9" s="12" t="s">
        <v>36</v>
      </c>
      <c r="C9" s="13" t="s">
        <v>37</v>
      </c>
      <c r="D9" s="13">
        <v>334469</v>
      </c>
      <c r="E9" s="16">
        <v>787500</v>
      </c>
      <c r="F9" s="14">
        <v>703850</v>
      </c>
      <c r="G9" s="13">
        <v>615125</v>
      </c>
      <c r="H9" s="14">
        <v>624751</v>
      </c>
      <c r="I9" s="14">
        <v>636563</v>
      </c>
      <c r="J9" s="15">
        <f t="shared" si="0"/>
        <v>3702258</v>
      </c>
    </row>
    <row r="10" spans="1:10">
      <c r="A10" s="75" t="s">
        <v>20</v>
      </c>
      <c r="B10" s="76"/>
      <c r="C10" s="11">
        <v>902125</v>
      </c>
      <c r="D10" s="11">
        <v>3620094</v>
      </c>
      <c r="E10" s="11">
        <v>4334750</v>
      </c>
      <c r="F10" s="11">
        <v>3868725</v>
      </c>
      <c r="G10" s="11">
        <v>3554688</v>
      </c>
      <c r="H10" s="11">
        <f>+SUM(H4:H9)</f>
        <v>3767749</v>
      </c>
      <c r="I10" s="11">
        <f>+SUM(I4:I9)</f>
        <v>3648048</v>
      </c>
      <c r="J10" s="11">
        <f t="shared" si="0"/>
        <v>23696179</v>
      </c>
    </row>
  </sheetData>
  <mergeCells count="2">
    <mergeCell ref="A10:B10"/>
    <mergeCell ref="C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 BILAN LOUMA PHASE1 SIM&amp;OM</vt:lpstr>
      <vt:lpstr>Carburants &amp; Hebergement</vt:lpstr>
      <vt:lpstr>COMMISSIONS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2025-07-16T18:42:18Z</dcterms:created>
  <dcterms:modified xsi:type="dcterms:W3CDTF">2025-09-24T10:23:44Z</dcterms:modified>
</cp:coreProperties>
</file>