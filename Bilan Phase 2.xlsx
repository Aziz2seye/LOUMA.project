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bookViews>
    <workbookView xWindow="0" yWindow="0" windowWidth="19200" windowHeight="7050" activeTab="1"/>
  </bookViews>
  <sheets>
    <sheet name="Feuil1" sheetId="1" r:id="rId1"/>
    <sheet name="Comissions" sheetId="3" r:id="rId2"/>
    <sheet name="C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M8" i="1" s="1"/>
  <c r="S4" i="1"/>
  <c r="S5" i="1"/>
  <c r="S6" i="1"/>
  <c r="S7" i="1"/>
  <c r="S8" i="1"/>
  <c r="S3" i="1"/>
  <c r="R8" i="1"/>
  <c r="N8" i="1"/>
  <c r="O8" i="1"/>
  <c r="P8" i="1"/>
  <c r="Q8" i="1"/>
  <c r="N7" i="1"/>
  <c r="O7" i="1"/>
  <c r="P7" i="1"/>
  <c r="Q7" i="1"/>
  <c r="M7" i="1"/>
  <c r="N6" i="1"/>
  <c r="O6" i="1"/>
  <c r="P6" i="1"/>
  <c r="Q6" i="1"/>
  <c r="M6" i="1"/>
  <c r="N5" i="1"/>
  <c r="O5" i="1"/>
  <c r="P5" i="1"/>
  <c r="Q5" i="1"/>
  <c r="M5" i="1"/>
  <c r="N4" i="1"/>
  <c r="O4" i="1"/>
  <c r="P4" i="1"/>
  <c r="Q4" i="1"/>
  <c r="O3" i="1"/>
  <c r="P3" i="1"/>
  <c r="N3" i="1"/>
  <c r="M3" i="1"/>
  <c r="Q2" i="1"/>
  <c r="S2" i="1" s="1"/>
  <c r="G3" i="1"/>
  <c r="I3" i="1" s="1"/>
  <c r="G4" i="1"/>
  <c r="I4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G2" i="1"/>
  <c r="I2" i="1" s="1"/>
  <c r="H13" i="1"/>
  <c r="I13" i="1" l="1"/>
  <c r="Q3" i="1"/>
</calcChain>
</file>

<file path=xl/sharedStrings.xml><?xml version="1.0" encoding="utf-8"?>
<sst xmlns="http://schemas.openxmlformats.org/spreadsheetml/2006/main" count="230" uniqueCount="151">
  <si>
    <t>DRV</t>
  </si>
  <si>
    <t>PVT</t>
  </si>
  <si>
    <t>DR2</t>
  </si>
  <si>
    <t>PVT TEKNICOM CONSULTING GROUPE (SADI RUFISQUE-DIAMNIADIO)</t>
  </si>
  <si>
    <t>DRC</t>
  </si>
  <si>
    <t>PVT SERIGNE MBACKE MADINA CISSE (ZONE TOUBA)</t>
  </si>
  <si>
    <t>PVT TOUBA BOGO COMMUNICATION (ZONE MBOUR)</t>
  </si>
  <si>
    <t>DRE</t>
  </si>
  <si>
    <t>PVT DEMBA FALL ( RAVT ZONE FATICK)</t>
  </si>
  <si>
    <t>PVT ITR (ZONE KAFFRINE)</t>
  </si>
  <si>
    <t>DRN</t>
  </si>
  <si>
    <t>PVT MADINA BUSINESS PRO (RAVT LINGUERE)</t>
  </si>
  <si>
    <t>PVT Thomas Djibril Ciss (RAVT KEBEMER)</t>
  </si>
  <si>
    <t>DRSE</t>
  </si>
  <si>
    <t>PVT FOFANA SORIKE KEDOUGOU (RAVT ZONE KEDOUGOU)</t>
  </si>
  <si>
    <t>PVT SEYDINA OUSMANE SY ( ZONE TAMBA)</t>
  </si>
  <si>
    <t>DRS</t>
  </si>
  <si>
    <t>PVT MOR WADE (ZONE KOLDA)</t>
  </si>
  <si>
    <t>PVT ZIG TELECOM (RAVT ZIGUINCHOR)</t>
  </si>
  <si>
    <t>TOTAL</t>
  </si>
  <si>
    <t>OBJECTIF</t>
  </si>
  <si>
    <t>SEM1</t>
  </si>
  <si>
    <t>SEM2</t>
  </si>
  <si>
    <t>SEM3</t>
  </si>
  <si>
    <t>SEM4</t>
  </si>
  <si>
    <t>TR</t>
  </si>
  <si>
    <t>PRENOM_VENDEUR</t>
  </si>
  <si>
    <t>NOM_VENDEUR</t>
  </si>
  <si>
    <t>LOGIN</t>
  </si>
  <si>
    <t>AMDY</t>
  </si>
  <si>
    <t>GUEYE</t>
  </si>
  <si>
    <t>pvt_tcg_0124</t>
  </si>
  <si>
    <t>FATOU</t>
  </si>
  <si>
    <t>TAMBASSA</t>
  </si>
  <si>
    <t>pvt_tcg_0260</t>
  </si>
  <si>
    <t>FAYE</t>
  </si>
  <si>
    <t>MOUHAMATH</t>
  </si>
  <si>
    <t>pvt_tcg_0035</t>
  </si>
  <si>
    <t>SERIGNE FALLOU</t>
  </si>
  <si>
    <t>BITEYE</t>
  </si>
  <si>
    <t>pvt_tcg_0331</t>
  </si>
  <si>
    <t>ASSANE</t>
  </si>
  <si>
    <t>DIOP</t>
  </si>
  <si>
    <t>pvt_smmc303</t>
  </si>
  <si>
    <t>GAMOU</t>
  </si>
  <si>
    <t>NDIAYE</t>
  </si>
  <si>
    <t>pvt_smmc301</t>
  </si>
  <si>
    <t>MAYANE</t>
  </si>
  <si>
    <t>NDIM</t>
  </si>
  <si>
    <t>pvt_smmc2695</t>
  </si>
  <si>
    <t>MODOU</t>
  </si>
  <si>
    <t>LO</t>
  </si>
  <si>
    <t>pvt_smmc2928</t>
  </si>
  <si>
    <t>FALLOU</t>
  </si>
  <si>
    <t>FALL</t>
  </si>
  <si>
    <t>pvt_tbogo1719</t>
  </si>
  <si>
    <t>GNIMA</t>
  </si>
  <si>
    <t>DIATTA</t>
  </si>
  <si>
    <t>pvt_tbogo1367</t>
  </si>
  <si>
    <t>PAULINE COUMBA</t>
  </si>
  <si>
    <t>pvt_tbogo1534</t>
  </si>
  <si>
    <t>ROSE</t>
  </si>
  <si>
    <t>MENDY</t>
  </si>
  <si>
    <t>pvt_tbogo1124</t>
  </si>
  <si>
    <t>ABDOULAYE</t>
  </si>
  <si>
    <t>DABO</t>
  </si>
  <si>
    <t>pvt_dfallf0182</t>
  </si>
  <si>
    <t>AMY</t>
  </si>
  <si>
    <t>SAMB</t>
  </si>
  <si>
    <t>pvt_dfallf0271</t>
  </si>
  <si>
    <t>AWA</t>
  </si>
  <si>
    <t>NDOUR</t>
  </si>
  <si>
    <t>pvt_dfallf0272</t>
  </si>
  <si>
    <t>IBRAHIMA</t>
  </si>
  <si>
    <t>DIALLO</t>
  </si>
  <si>
    <t>pvt_dfallf0220</t>
  </si>
  <si>
    <t>OUSMANE</t>
  </si>
  <si>
    <t>THIALL</t>
  </si>
  <si>
    <t>pvt_itrkaf192</t>
  </si>
  <si>
    <t>PAPE ABDOULAYE</t>
  </si>
  <si>
    <t>pvt_itrkaf0585</t>
  </si>
  <si>
    <t>ROKHY</t>
  </si>
  <si>
    <t>KEBE</t>
  </si>
  <si>
    <t>pvt_itrkaf292</t>
  </si>
  <si>
    <t>SEYNABOU</t>
  </si>
  <si>
    <t>GAYE</t>
  </si>
  <si>
    <t>pvt_itrkaf255</t>
  </si>
  <si>
    <t>ALIOUNE</t>
  </si>
  <si>
    <t>pvt_mbpling0230</t>
  </si>
  <si>
    <t>BAYE SALIOU</t>
  </si>
  <si>
    <t>DIAKHATE</t>
  </si>
  <si>
    <t>pvt_mbpling009</t>
  </si>
  <si>
    <t>DEMBA SOUMARE</t>
  </si>
  <si>
    <t>DIOUF</t>
  </si>
  <si>
    <t>pvt_mbpling173</t>
  </si>
  <si>
    <t>OUSSEYNOU</t>
  </si>
  <si>
    <t>MBAYE</t>
  </si>
  <si>
    <t>pvt_mbpling114</t>
  </si>
  <si>
    <t>ABDOU LAHAD</t>
  </si>
  <si>
    <t>pvt_tdc590013</t>
  </si>
  <si>
    <t>ABIBOU</t>
  </si>
  <si>
    <t>pvt_tdc590120</t>
  </si>
  <si>
    <t>ALLA</t>
  </si>
  <si>
    <t>SOW</t>
  </si>
  <si>
    <t>pvt_tdc590043</t>
  </si>
  <si>
    <t>BILALY</t>
  </si>
  <si>
    <t>BASSOUM</t>
  </si>
  <si>
    <t>pvt_tdc590016</t>
  </si>
  <si>
    <t>HARIDIATOU</t>
  </si>
  <si>
    <t>pvt_sfof097</t>
  </si>
  <si>
    <t>MADIALANG</t>
  </si>
  <si>
    <t>DRAME</t>
  </si>
  <si>
    <t>pvt_sfof0211</t>
  </si>
  <si>
    <t>MADY</t>
  </si>
  <si>
    <t>DANSOKHO</t>
  </si>
  <si>
    <t>pvt_sfof126</t>
  </si>
  <si>
    <t>THIERNO OUSSEYNOU</t>
  </si>
  <si>
    <t>WANE</t>
  </si>
  <si>
    <t>pvt_sfof0228</t>
  </si>
  <si>
    <t>pvt_sosy134</t>
  </si>
  <si>
    <t>DIOR</t>
  </si>
  <si>
    <t>pvt_sosy0290</t>
  </si>
  <si>
    <t>KHADIDIATOU</t>
  </si>
  <si>
    <t>SOUARE</t>
  </si>
  <si>
    <t>pvt_sosy165</t>
  </si>
  <si>
    <t>MAHAMADOU</t>
  </si>
  <si>
    <t>pvt_sosy0560</t>
  </si>
  <si>
    <t>FATOUMATA BINTA</t>
  </si>
  <si>
    <t>BA</t>
  </si>
  <si>
    <t>pvt_mwadk0290</t>
  </si>
  <si>
    <t>HAMADOU</t>
  </si>
  <si>
    <t>BALDE</t>
  </si>
  <si>
    <t>pvt_mwadk236</t>
  </si>
  <si>
    <t>MBALLO</t>
  </si>
  <si>
    <t>pvt_mwadk181</t>
  </si>
  <si>
    <t>MOUHAMADOU KALIDOU</t>
  </si>
  <si>
    <t>pvt_mwadk194</t>
  </si>
  <si>
    <t>BINTOU</t>
  </si>
  <si>
    <t>pvt_zigtel_ravt_zig068</t>
  </si>
  <si>
    <t>pvt_zigtel0316</t>
  </si>
  <si>
    <t>JEAN EMMANUEL CHRISTOPHE</t>
  </si>
  <si>
    <t>BADJI</t>
  </si>
  <si>
    <t>pvt_zigtel0351</t>
  </si>
  <si>
    <t>NDEYE FATOU</t>
  </si>
  <si>
    <t>MANE</t>
  </si>
  <si>
    <t>pvt_zigtel281</t>
  </si>
  <si>
    <t>MONTANT</t>
  </si>
  <si>
    <t>DR EST</t>
  </si>
  <si>
    <t>DR NORD</t>
  </si>
  <si>
    <t>DR SUD</t>
  </si>
  <si>
    <t>SUD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</si>
</sst>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/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 applyAlignment="1">
      <alignment horizontal="center"/>
    </xf>
    <xf numFmtId="9" fontId="4" fillId="0" borderId="1" xfId="1" applyFont="1" applyBorder="1" applyAlignment="1">
      <alignment horizontal="center" vertical="top"/>
    </xf>
    <xf numFmtId="9" fontId="2" fillId="2" borderId="1" xfId="1" applyFont="1" applyFill="1" applyBorder="1"/>
    <xf numFmtId="9" fontId="2" fillId="4" borderId="1" xfId="1" applyFont="1" applyFill="1" applyBorder="1"/>
    <xf numFmtId="9" fontId="2" fillId="5" borderId="1" xfId="1" applyFont="1" applyFill="1" applyBorder="1"/>
    <xf numFmtId="9" fontId="2" fillId="3" borderId="1" xfId="1" applyFont="1" applyFill="1" applyBorder="1"/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9" fontId="2" fillId="4" borderId="1" xfId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1" xfId="0" applyFill="1" applyBorder="1" applyAlignment="1">
      <alignment horizontal="right" vertical="center"/>
    </xf>
    <xf numFmtId="9" fontId="2" fillId="4" borderId="1" xfId="1" applyFont="1" applyFill="1" applyBorder="1" applyAlignment="1">
      <alignment horizontal="right" vertical="center"/>
    </xf>
    <xf numFmtId="9" fontId="2" fillId="5" borderId="1" xfId="1" applyFont="1" applyFill="1" applyBorder="1" applyAlignment="1">
      <alignment horizontal="right" vertical="center"/>
    </xf>
    <xf numFmtId="9" fontId="2" fillId="2" borderId="1" xfId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0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 sz="1800" b="1">
                <a:solidFill>
                  <a:sysClr val="windowText" lastClr="000000"/>
                </a:solidFill>
              </a:rPr>
              <a:t>TR</a:t>
            </a:r>
            <a:r>
              <a:rPr lang="fr-FR" sz="1800" b="1" baseline="0">
                <a:solidFill>
                  <a:sysClr val="windowText" lastClr="000000"/>
                </a:solidFill>
              </a:rPr>
              <a:t> SIM par DR</a:t>
            </a:r>
            <a:endParaRPr lang="fr-FR" sz="1800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Feuil1!$L$2</c:f>
              <c:strCache>
                <c:ptCount val="1"/>
                <c:pt idx="0">
                  <c:v>DR2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Feuil1!$M$1:$S$1</c15:sqref>
                  </c15:fullRef>
                </c:ext>
              </c:extLst>
              <c:f>Feuil1!$S$1</c:f>
              <c:strCache>
                <c:ptCount val="1"/>
                <c:pt idx="0">
                  <c:v>TR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Feuil1!$M$2:$S$2</c15:sqref>
                  </c15:fullRef>
                </c:ext>
              </c:extLst>
              <c:f>Feuil1!$S$2</c:f>
              <c:numCache>
                <c:formatCode>General</c:formatCode>
                <c:ptCount val="1"/>
                <c:pt idx="0" formatCode="0%">
                  <c:v>1.409375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4-42E9-8716-31A920FF2B70}"/>
            </c:ext>
          </c:extLst>
        </c:ser>
        <c:ser>
          <c:idx val="1"/>
          <c:order val="1"/>
          <c:tx>
            <c:strRef>
              <c:f>Feuil1!$L$3</c:f>
              <c:strCache>
                <c:ptCount val="1"/>
                <c:pt idx="0">
                  <c:v>DRC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Feuil1!$M$1:$S$1</c15:sqref>
                  </c15:fullRef>
                </c:ext>
              </c:extLst>
              <c:f>Feuil1!$S$1</c:f>
              <c:strCache>
                <c:ptCount val="1"/>
                <c:pt idx="0">
                  <c:v>TR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Feuil1!$M$3:$S$3</c15:sqref>
                  </c15:fullRef>
                </c:ext>
              </c:extLst>
              <c:f>Feuil1!$S$3</c:f>
              <c:numCache>
                <c:formatCode>General</c:formatCode>
                <c:ptCount val="1"/>
                <c:pt idx="0" formatCode="0%">
                  <c:v>0.98645833333333333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24-42E9-8716-31A920FF2B70}"/>
            </c:ext>
          </c:extLst>
        </c:ser>
        <c:ser>
          <c:idx val="2"/>
          <c:order val="2"/>
          <c:tx>
            <c:strRef>
              <c:f>Feuil1!$L$4</c:f>
              <c:strCache>
                <c:ptCount val="1"/>
                <c:pt idx="0">
                  <c:v>DRE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Feuil1!$M$1:$S$1</c15:sqref>
                  </c15:fullRef>
                </c:ext>
              </c:extLst>
              <c:f>Feuil1!$S$1</c:f>
              <c:strCache>
                <c:ptCount val="1"/>
                <c:pt idx="0">
                  <c:v>TR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Feuil1!$M$4:$S$4</c15:sqref>
                  </c15:fullRef>
                </c:ext>
              </c:extLst>
              <c:f>Feuil1!$S$4</c:f>
              <c:numCache>
                <c:formatCode>General</c:formatCode>
                <c:ptCount val="1"/>
                <c:pt idx="0" formatCode="0%">
                  <c:v>1.0489583333333334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24-42E9-8716-31A920FF2B70}"/>
            </c:ext>
          </c:extLst>
        </c:ser>
        <c:ser>
          <c:idx val="3"/>
          <c:order val="3"/>
          <c:tx>
            <c:strRef>
              <c:f>Feuil1!$L$5</c:f>
              <c:strCache>
                <c:ptCount val="1"/>
                <c:pt idx="0">
                  <c:v>DRN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Feuil1!$M$1:$S$1</c15:sqref>
                  </c15:fullRef>
                </c:ext>
              </c:extLst>
              <c:f>Feuil1!$S$1</c:f>
              <c:strCache>
                <c:ptCount val="1"/>
                <c:pt idx="0">
                  <c:v>TR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Feuil1!$M$5:$S$5</c15:sqref>
                  </c15:fullRef>
                </c:ext>
              </c:extLst>
              <c:f>Feuil1!$S$5</c:f>
              <c:numCache>
                <c:formatCode>General</c:formatCode>
                <c:ptCount val="1"/>
                <c:pt idx="0" formatCode="0%">
                  <c:v>1.1114583333333334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24-42E9-8716-31A920FF2B70}"/>
            </c:ext>
          </c:extLst>
        </c:ser>
        <c:ser>
          <c:idx val="4"/>
          <c:order val="4"/>
          <c:tx>
            <c:strRef>
              <c:f>Feuil1!$L$6</c:f>
              <c:strCache>
                <c:ptCount val="1"/>
                <c:pt idx="0">
                  <c:v>DRSE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Feuil1!$M$1:$S$1</c15:sqref>
                  </c15:fullRef>
                </c:ext>
              </c:extLst>
              <c:f>Feuil1!$S$1</c:f>
              <c:strCache>
                <c:ptCount val="1"/>
                <c:pt idx="0">
                  <c:v>TR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Feuil1!$M$6:$S$6</c15:sqref>
                  </c15:fullRef>
                </c:ext>
              </c:extLst>
              <c:f>Feuil1!$S$6</c:f>
              <c:numCache>
                <c:formatCode>General</c:formatCode>
                <c:ptCount val="1"/>
                <c:pt idx="0" formatCode="0%">
                  <c:v>0.83229166666666665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24-42E9-8716-31A920FF2B70}"/>
            </c:ext>
          </c:extLst>
        </c:ser>
        <c:ser>
          <c:idx val="5"/>
          <c:order val="5"/>
          <c:tx>
            <c:strRef>
              <c:f>Feuil1!$L$7</c:f>
              <c:strCache>
                <c:ptCount val="1"/>
                <c:pt idx="0">
                  <c:v>DRS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Feuil1!$M$1:$S$1</c15:sqref>
                  </c15:fullRef>
                </c:ext>
              </c:extLst>
              <c:f>Feuil1!$S$1</c:f>
              <c:strCache>
                <c:ptCount val="1"/>
                <c:pt idx="0">
                  <c:v>TR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Feuil1!$M$7:$S$7</c15:sqref>
                  </c15:fullRef>
                </c:ext>
              </c:extLst>
              <c:f>Feuil1!$S$7</c:f>
              <c:numCache>
                <c:formatCode>General</c:formatCode>
                <c:ptCount val="1"/>
                <c:pt idx="0" formatCode="0%">
                  <c:v>0.88958333333333328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24-42E9-8716-31A920FF2B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5455376"/>
        <c:axId val="955457040"/>
        <c:extLst>
          <c:ext xmlns:c15="http://schemas.microsoft.com/office/drawing/2012/chart" uri="{02D57815-91ED-43cb-92C2-25804820EDAC}">
            <c15:filteredBar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Feuil1!$L$8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Feuil1!$M$1:$S$1</c15:sqref>
                        </c15:fullRef>
                        <c15:formulaRef>
                          <c15:sqref>Feuil1!$S$1</c15:sqref>
                        </c15:formulaRef>
                      </c:ext>
                    </c:extLst>
                    <c:strCache>
                      <c:ptCount val="1"/>
                      <c:pt idx="0">
                        <c:v>TR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Feuil1!$M$8:$S$8</c15:sqref>
                        </c15:fullRef>
                        <c15:formulaRef>
                          <c15:sqref>Feuil1!$S$8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 formatCode="0%">
                        <c:v>1.0133522727272728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0524-42E9-8716-31A920FF2B70}"/>
                  </c:ext>
                </c:extLst>
              </c15:ser>
            </c15:filteredBarSeries>
          </c:ext>
        </c:extLst>
      </c:barChart>
      <c:catAx>
        <c:axId val="95545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55457040"/>
        <c:crosses val="autoZero"/>
        <c:auto val="1"/>
        <c:lblAlgn val="ctr"/>
        <c:lblOffset val="100"/>
        <c:noMultiLvlLbl val="0"/>
      </c:catAx>
      <c:valAx>
        <c:axId val="9554570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95545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Taux</a:t>
            </a:r>
            <a:r>
              <a:rPr lang="en-US" sz="1800" b="1" baseline="0">
                <a:solidFill>
                  <a:sysClr val="windowText" lastClr="000000"/>
                </a:solidFill>
              </a:rPr>
              <a:t> de contribution par DR</a:t>
            </a:r>
            <a:endParaRPr lang="en-US" sz="1800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6"/>
          <c:order val="6"/>
          <c:tx>
            <c:strRef>
              <c:f>Feuil1!$S$1</c:f>
              <c:strCache>
                <c:ptCount val="1"/>
                <c:pt idx="0">
                  <c:v>TR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Feuil1!$L$2:$L$7</c:f>
              <c:strCache>
                <c:ptCount val="6"/>
                <c:pt idx="0">
                  <c:v>DR2</c:v>
                </c:pt>
                <c:pt idx="1">
                  <c:v>DRC</c:v>
                </c:pt>
                <c:pt idx="2">
                  <c:v>DRE</c:v>
                </c:pt>
                <c:pt idx="3">
                  <c:v>DRN</c:v>
                </c:pt>
                <c:pt idx="4">
                  <c:v>DRSE</c:v>
                </c:pt>
                <c:pt idx="5">
                  <c:v>DRS</c:v>
                </c:pt>
              </c:strCache>
            </c:strRef>
          </c:cat>
          <c:val>
            <c:numRef>
              <c:f>Feuil1!$S$2:$S$7</c:f>
              <c:numCache>
                <c:formatCode>0%</c:formatCode>
                <c:ptCount val="6"/>
                <c:pt idx="0">
                  <c:v>1.409375</c:v>
                </c:pt>
                <c:pt idx="1">
                  <c:v>0.98645833333333333</c:v>
                </c:pt>
                <c:pt idx="2">
                  <c:v>1.0489583333333334</c:v>
                </c:pt>
                <c:pt idx="3">
                  <c:v>1.1114583333333334</c:v>
                </c:pt>
                <c:pt idx="4">
                  <c:v>0.83229166666666665</c:v>
                </c:pt>
                <c:pt idx="5">
                  <c:v>0.88958333333333328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4-9583-4ADC-9190-94F672D2890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Feuil1!$M$1</c15:sqref>
                        </c15:formulaRef>
                      </c:ext>
                    </c:extLst>
                    <c:strCache>
                      <c:ptCount val="1"/>
                      <c:pt idx="0">
                        <c:v>SEM1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1-9583-4ADC-9190-94F672D2890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3-9583-4ADC-9190-94F672D2890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5-9583-4ADC-9190-94F672D2890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7-9583-4ADC-9190-94F672D2890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9-9583-4ADC-9190-94F672D2890A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B-9583-4ADC-9190-94F672D2890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Feuil1!$L$2:$L$7</c15:sqref>
                        </c15:formulaRef>
                      </c:ext>
                    </c:extLst>
                    <c:strCache>
                      <c:ptCount val="6"/>
                      <c:pt idx="0">
                        <c:v>DR2</c:v>
                      </c:pt>
                      <c:pt idx="1">
                        <c:v>DRC</c:v>
                      </c:pt>
                      <c:pt idx="2">
                        <c:v>DRE</c:v>
                      </c:pt>
                      <c:pt idx="3">
                        <c:v>DRN</c:v>
                      </c:pt>
                      <c:pt idx="4">
                        <c:v>DRSE</c:v>
                      </c:pt>
                      <c:pt idx="5">
                        <c:v>DRS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Feuil1!$M$2:$M$7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182</c:v>
                      </c:pt>
                      <c:pt idx="1">
                        <c:v>327</c:v>
                      </c:pt>
                      <c:pt idx="2">
                        <c:v>493</c:v>
                      </c:pt>
                      <c:pt idx="3">
                        <c:v>477</c:v>
                      </c:pt>
                      <c:pt idx="4">
                        <c:v>373</c:v>
                      </c:pt>
                      <c:pt idx="5">
                        <c:v>344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954F-4DA0-9272-975B77FA4288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Feuil1!$N$1</c15:sqref>
                        </c15:formulaRef>
                      </c:ext>
                    </c:extLst>
                    <c:strCache>
                      <c:ptCount val="1"/>
                      <c:pt idx="0">
                        <c:v>SEM2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9583-4ADC-9190-94F672D2890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1-9583-4ADC-9190-94F672D2890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9583-4ADC-9190-94F672D2890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9583-4ADC-9190-94F672D2890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9583-4ADC-9190-94F672D2890A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9583-4ADC-9190-94F672D2890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Feuil1!$L$2:$L$7</c15:sqref>
                        </c15:formulaRef>
                      </c:ext>
                    </c:extLst>
                    <c:strCache>
                      <c:ptCount val="6"/>
                      <c:pt idx="0">
                        <c:v>DR2</c:v>
                      </c:pt>
                      <c:pt idx="1">
                        <c:v>DRC</c:v>
                      </c:pt>
                      <c:pt idx="2">
                        <c:v>DRE</c:v>
                      </c:pt>
                      <c:pt idx="3">
                        <c:v>DRN</c:v>
                      </c:pt>
                      <c:pt idx="4">
                        <c:v>DRSE</c:v>
                      </c:pt>
                      <c:pt idx="5">
                        <c:v>DRS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Feuil1!$N$2:$N$7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360</c:v>
                      </c:pt>
                      <c:pt idx="1">
                        <c:v>459</c:v>
                      </c:pt>
                      <c:pt idx="2">
                        <c:v>482</c:v>
                      </c:pt>
                      <c:pt idx="3">
                        <c:v>659</c:v>
                      </c:pt>
                      <c:pt idx="4">
                        <c:v>426</c:v>
                      </c:pt>
                      <c:pt idx="5">
                        <c:v>423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54F-4DA0-9272-975B77FA4288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Feuil1!$O$1</c15:sqref>
                        </c15:formulaRef>
                      </c:ext>
                    </c:extLst>
                    <c:strCache>
                      <c:ptCount val="1"/>
                      <c:pt idx="0">
                        <c:v>SEM3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9583-4ADC-9190-94F672D2890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9583-4ADC-9190-94F672D2890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1-9583-4ADC-9190-94F672D2890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3-9583-4ADC-9190-94F672D2890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5-9583-4ADC-9190-94F672D2890A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7-9583-4ADC-9190-94F672D2890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Feuil1!$L$2:$L$7</c15:sqref>
                        </c15:formulaRef>
                      </c:ext>
                    </c:extLst>
                    <c:strCache>
                      <c:ptCount val="6"/>
                      <c:pt idx="0">
                        <c:v>DR2</c:v>
                      </c:pt>
                      <c:pt idx="1">
                        <c:v>DRC</c:v>
                      </c:pt>
                      <c:pt idx="2">
                        <c:v>DRE</c:v>
                      </c:pt>
                      <c:pt idx="3">
                        <c:v>DRN</c:v>
                      </c:pt>
                      <c:pt idx="4">
                        <c:v>DRSE</c:v>
                      </c:pt>
                      <c:pt idx="5">
                        <c:v>DRS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Feuil1!$O$2:$O$7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428</c:v>
                      </c:pt>
                      <c:pt idx="1">
                        <c:v>549</c:v>
                      </c:pt>
                      <c:pt idx="2">
                        <c:v>533</c:v>
                      </c:pt>
                      <c:pt idx="3">
                        <c:v>519</c:v>
                      </c:pt>
                      <c:pt idx="4">
                        <c:v>417</c:v>
                      </c:pt>
                      <c:pt idx="5">
                        <c:v>404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954F-4DA0-9272-975B77FA4288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Feuil1!$P$1</c15:sqref>
                        </c15:formulaRef>
                      </c:ext>
                    </c:extLst>
                    <c:strCache>
                      <c:ptCount val="1"/>
                      <c:pt idx="0">
                        <c:v>SEM4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B-9583-4ADC-9190-94F672D2890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D-9583-4ADC-9190-94F672D2890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F-9583-4ADC-9190-94F672D2890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1-9583-4ADC-9190-94F672D2890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3-9583-4ADC-9190-94F672D2890A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5-9583-4ADC-9190-94F672D2890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Feuil1!$L$2:$L$7</c15:sqref>
                        </c15:formulaRef>
                      </c:ext>
                    </c:extLst>
                    <c:strCache>
                      <c:ptCount val="6"/>
                      <c:pt idx="0">
                        <c:v>DR2</c:v>
                      </c:pt>
                      <c:pt idx="1">
                        <c:v>DRC</c:v>
                      </c:pt>
                      <c:pt idx="2">
                        <c:v>DRE</c:v>
                      </c:pt>
                      <c:pt idx="3">
                        <c:v>DRN</c:v>
                      </c:pt>
                      <c:pt idx="4">
                        <c:v>DRSE</c:v>
                      </c:pt>
                      <c:pt idx="5">
                        <c:v>DRS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Feuil1!$P$2:$P$7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383</c:v>
                      </c:pt>
                      <c:pt idx="1">
                        <c:v>559</c:v>
                      </c:pt>
                      <c:pt idx="2">
                        <c:v>506</c:v>
                      </c:pt>
                      <c:pt idx="3">
                        <c:v>479</c:v>
                      </c:pt>
                      <c:pt idx="4">
                        <c:v>382</c:v>
                      </c:pt>
                      <c:pt idx="5">
                        <c:v>537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954F-4DA0-9272-975B77FA4288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Feuil1!$Q$1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9-9583-4ADC-9190-94F672D2890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B-9583-4ADC-9190-94F672D2890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D-9583-4ADC-9190-94F672D2890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3F-9583-4ADC-9190-94F672D2890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1-9583-4ADC-9190-94F672D2890A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3-9583-4ADC-9190-94F672D2890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Feuil1!$L$2:$L$7</c15:sqref>
                        </c15:formulaRef>
                      </c:ext>
                    </c:extLst>
                    <c:strCache>
                      <c:ptCount val="6"/>
                      <c:pt idx="0">
                        <c:v>DR2</c:v>
                      </c:pt>
                      <c:pt idx="1">
                        <c:v>DRC</c:v>
                      </c:pt>
                      <c:pt idx="2">
                        <c:v>DRE</c:v>
                      </c:pt>
                      <c:pt idx="3">
                        <c:v>DRN</c:v>
                      </c:pt>
                      <c:pt idx="4">
                        <c:v>DRSE</c:v>
                      </c:pt>
                      <c:pt idx="5">
                        <c:v>DRS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Feuil1!$Q$2:$Q$7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1353</c:v>
                      </c:pt>
                      <c:pt idx="1">
                        <c:v>1894</c:v>
                      </c:pt>
                      <c:pt idx="2">
                        <c:v>2014</c:v>
                      </c:pt>
                      <c:pt idx="3">
                        <c:v>2134</c:v>
                      </c:pt>
                      <c:pt idx="4">
                        <c:v>1598</c:v>
                      </c:pt>
                      <c:pt idx="5">
                        <c:v>1708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954F-4DA0-9272-975B77FA4288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Feuil1!$R$1</c15:sqref>
                        </c15:formulaRef>
                      </c:ext>
                    </c:extLst>
                    <c:strCache>
                      <c:ptCount val="1"/>
                      <c:pt idx="0">
                        <c:v>OBJECTIF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7-9583-4ADC-9190-94F672D2890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9-9583-4ADC-9190-94F672D2890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B-9583-4ADC-9190-94F672D2890A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D-9583-4ADC-9190-94F672D2890A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4F-9583-4ADC-9190-94F672D2890A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51-9583-4ADC-9190-94F672D2890A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fr-F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Feuil1!$L$2:$L$7</c15:sqref>
                        </c15:formulaRef>
                      </c:ext>
                    </c:extLst>
                    <c:strCache>
                      <c:ptCount val="6"/>
                      <c:pt idx="0">
                        <c:v>DR2</c:v>
                      </c:pt>
                      <c:pt idx="1">
                        <c:v>DRC</c:v>
                      </c:pt>
                      <c:pt idx="2">
                        <c:v>DRE</c:v>
                      </c:pt>
                      <c:pt idx="3">
                        <c:v>DRN</c:v>
                      </c:pt>
                      <c:pt idx="4">
                        <c:v>DRSE</c:v>
                      </c:pt>
                      <c:pt idx="5">
                        <c:v>DRS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Feuil1!$R$2:$R$7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960</c:v>
                      </c:pt>
                      <c:pt idx="1">
                        <c:v>1920</c:v>
                      </c:pt>
                      <c:pt idx="2">
                        <c:v>1920</c:v>
                      </c:pt>
                      <c:pt idx="3">
                        <c:v>1920</c:v>
                      </c:pt>
                      <c:pt idx="4">
                        <c:v>1920</c:v>
                      </c:pt>
                      <c:pt idx="5">
                        <c:v>1920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954F-4DA0-9272-975B77FA428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Feuil1!$L$2</c:f>
              <c:strCache>
                <c:ptCount val="1"/>
                <c:pt idx="0">
                  <c:v>DR2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Feuil1!$M$1:$P$1</c:f>
              <c:strCache>
                <c:ptCount val="4"/>
                <c:pt idx="0">
                  <c:v>SEM1</c:v>
                </c:pt>
                <c:pt idx="1">
                  <c:v>SEM2</c:v>
                </c:pt>
                <c:pt idx="2">
                  <c:v>SEM3</c:v>
                </c:pt>
                <c:pt idx="3">
                  <c:v>SEM4</c:v>
                </c:pt>
              </c:strCache>
            </c:strRef>
          </c:cat>
          <c:val>
            <c:numRef>
              <c:f>Feuil1!$M$2:$P$2</c:f>
              <c:numCache>
                <c:formatCode>General</c:formatCode>
                <c:ptCount val="4"/>
                <c:pt idx="0">
                  <c:v>182</c:v>
                </c:pt>
                <c:pt idx="1">
                  <c:v>360</c:v>
                </c:pt>
                <c:pt idx="2">
                  <c:v>428</c:v>
                </c:pt>
                <c:pt idx="3">
                  <c:v>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D-4076-BC23-3A6D09048CEB}"/>
            </c:ext>
          </c:extLst>
        </c:ser>
        <c:ser>
          <c:idx val="1"/>
          <c:order val="1"/>
          <c:tx>
            <c:strRef>
              <c:f>Feuil1!$L$3</c:f>
              <c:strCache>
                <c:ptCount val="1"/>
                <c:pt idx="0">
                  <c:v>DRC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Feuil1!$M$1:$P$1</c:f>
              <c:strCache>
                <c:ptCount val="4"/>
                <c:pt idx="0">
                  <c:v>SEM1</c:v>
                </c:pt>
                <c:pt idx="1">
                  <c:v>SEM2</c:v>
                </c:pt>
                <c:pt idx="2">
                  <c:v>SEM3</c:v>
                </c:pt>
                <c:pt idx="3">
                  <c:v>SEM4</c:v>
                </c:pt>
              </c:strCache>
            </c:strRef>
          </c:cat>
          <c:val>
            <c:numRef>
              <c:f>Feuil1!$M$3:$P$3</c:f>
              <c:numCache>
                <c:formatCode>General</c:formatCode>
                <c:ptCount val="4"/>
                <c:pt idx="0">
                  <c:v>327</c:v>
                </c:pt>
                <c:pt idx="1">
                  <c:v>459</c:v>
                </c:pt>
                <c:pt idx="2">
                  <c:v>549</c:v>
                </c:pt>
                <c:pt idx="3">
                  <c:v>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3D-4076-BC23-3A6D09048CEB}"/>
            </c:ext>
          </c:extLst>
        </c:ser>
        <c:ser>
          <c:idx val="2"/>
          <c:order val="2"/>
          <c:tx>
            <c:strRef>
              <c:f>Feuil1!$L$4</c:f>
              <c:strCache>
                <c:ptCount val="1"/>
                <c:pt idx="0">
                  <c:v>DRE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Feuil1!$M$1:$P$1</c:f>
              <c:strCache>
                <c:ptCount val="4"/>
                <c:pt idx="0">
                  <c:v>SEM1</c:v>
                </c:pt>
                <c:pt idx="1">
                  <c:v>SEM2</c:v>
                </c:pt>
                <c:pt idx="2">
                  <c:v>SEM3</c:v>
                </c:pt>
                <c:pt idx="3">
                  <c:v>SEM4</c:v>
                </c:pt>
              </c:strCache>
            </c:strRef>
          </c:cat>
          <c:val>
            <c:numRef>
              <c:f>Feuil1!$M$4:$P$4</c:f>
              <c:numCache>
                <c:formatCode>General</c:formatCode>
                <c:ptCount val="4"/>
                <c:pt idx="0">
                  <c:v>493</c:v>
                </c:pt>
                <c:pt idx="1">
                  <c:v>482</c:v>
                </c:pt>
                <c:pt idx="2">
                  <c:v>533</c:v>
                </c:pt>
                <c:pt idx="3">
                  <c:v>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3D-4076-BC23-3A6D09048CEB}"/>
            </c:ext>
          </c:extLst>
        </c:ser>
        <c:ser>
          <c:idx val="3"/>
          <c:order val="3"/>
          <c:tx>
            <c:strRef>
              <c:f>Feuil1!$L$5</c:f>
              <c:strCache>
                <c:ptCount val="1"/>
                <c:pt idx="0">
                  <c:v>DRN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Feuil1!$M$1:$P$1</c:f>
              <c:strCache>
                <c:ptCount val="4"/>
                <c:pt idx="0">
                  <c:v>SEM1</c:v>
                </c:pt>
                <c:pt idx="1">
                  <c:v>SEM2</c:v>
                </c:pt>
                <c:pt idx="2">
                  <c:v>SEM3</c:v>
                </c:pt>
                <c:pt idx="3">
                  <c:v>SEM4</c:v>
                </c:pt>
              </c:strCache>
            </c:strRef>
          </c:cat>
          <c:val>
            <c:numRef>
              <c:f>Feuil1!$M$5:$P$5</c:f>
              <c:numCache>
                <c:formatCode>General</c:formatCode>
                <c:ptCount val="4"/>
                <c:pt idx="0">
                  <c:v>477</c:v>
                </c:pt>
                <c:pt idx="1">
                  <c:v>659</c:v>
                </c:pt>
                <c:pt idx="2">
                  <c:v>519</c:v>
                </c:pt>
                <c:pt idx="3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3D-4076-BC23-3A6D09048CEB}"/>
            </c:ext>
          </c:extLst>
        </c:ser>
        <c:ser>
          <c:idx val="4"/>
          <c:order val="4"/>
          <c:tx>
            <c:strRef>
              <c:f>Feuil1!$L$6</c:f>
              <c:strCache>
                <c:ptCount val="1"/>
                <c:pt idx="0">
                  <c:v>DRSE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Feuil1!$M$1:$P$1</c:f>
              <c:strCache>
                <c:ptCount val="4"/>
                <c:pt idx="0">
                  <c:v>SEM1</c:v>
                </c:pt>
                <c:pt idx="1">
                  <c:v>SEM2</c:v>
                </c:pt>
                <c:pt idx="2">
                  <c:v>SEM3</c:v>
                </c:pt>
                <c:pt idx="3">
                  <c:v>SEM4</c:v>
                </c:pt>
              </c:strCache>
            </c:strRef>
          </c:cat>
          <c:val>
            <c:numRef>
              <c:f>Feuil1!$M$6:$P$6</c:f>
              <c:numCache>
                <c:formatCode>General</c:formatCode>
                <c:ptCount val="4"/>
                <c:pt idx="0">
                  <c:v>373</c:v>
                </c:pt>
                <c:pt idx="1">
                  <c:v>426</c:v>
                </c:pt>
                <c:pt idx="2">
                  <c:v>417</c:v>
                </c:pt>
                <c:pt idx="3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3D-4076-BC23-3A6D09048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1605408"/>
        <c:axId val="1231599584"/>
      </c:barChart>
      <c:lineChart>
        <c:grouping val="standard"/>
        <c:varyColors val="0"/>
        <c:ser>
          <c:idx val="5"/>
          <c:order val="5"/>
          <c:tx>
            <c:strRef>
              <c:f>Feuil1!$L$7</c:f>
              <c:strCache>
                <c:ptCount val="1"/>
                <c:pt idx="0">
                  <c:v>DRS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Feuil1!$M$1:$P$1</c:f>
              <c:strCache>
                <c:ptCount val="4"/>
                <c:pt idx="0">
                  <c:v>SEM1</c:v>
                </c:pt>
                <c:pt idx="1">
                  <c:v>SEM2</c:v>
                </c:pt>
                <c:pt idx="2">
                  <c:v>SEM3</c:v>
                </c:pt>
                <c:pt idx="3">
                  <c:v>SEM4</c:v>
                </c:pt>
              </c:strCache>
            </c:strRef>
          </c:cat>
          <c:val>
            <c:numRef>
              <c:f>Feuil1!$M$7:$P$7</c:f>
              <c:numCache>
                <c:formatCode>General</c:formatCode>
                <c:ptCount val="4"/>
                <c:pt idx="0">
                  <c:v>344</c:v>
                </c:pt>
                <c:pt idx="1">
                  <c:v>423</c:v>
                </c:pt>
                <c:pt idx="2">
                  <c:v>404</c:v>
                </c:pt>
                <c:pt idx="3">
                  <c:v>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3D-4076-BC23-3A6D09048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1605408"/>
        <c:axId val="1231599584"/>
      </c:lineChart>
      <c:catAx>
        <c:axId val="123160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1599584"/>
        <c:crosses val="autoZero"/>
        <c:auto val="1"/>
        <c:lblAlgn val="ctr"/>
        <c:lblOffset val="100"/>
        <c:noMultiLvlLbl val="0"/>
      </c:catAx>
      <c:valAx>
        <c:axId val="123159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3160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583141</xdr:colOff>
      <xdr:row>14</xdr:row>
      <xdr:rowOff>2769</xdr:rowOff>
    </xdr:from>
    <xdr:to>
      <xdr:col>9</xdr:col>
      <xdr:colOff>53975</xdr:colOff>
      <xdr:row>28</xdr:row>
      <xdr:rowOff>167868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42333</xdr:colOff>
      <xdr:row>14</xdr:row>
      <xdr:rowOff>248</xdr:rowOff>
    </xdr:from>
    <xdr:to>
      <xdr:col>2</xdr:col>
      <xdr:colOff>510116</xdr:colOff>
      <xdr:row>31</xdr:row>
      <xdr:rowOff>28824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135782</xdr:colOff>
      <xdr:row>14</xdr:row>
      <xdr:rowOff>3109</xdr:rowOff>
    </xdr:from>
    <xdr:to>
      <xdr:col>15</xdr:col>
      <xdr:colOff>127675</xdr:colOff>
      <xdr:row>29</xdr:row>
      <xdr:rowOff>10404</xdr:rowOff>
    </xdr:to>
    <xdr:graphicFrame macro="">
      <xdr:nvGraphicFramePr>
        <xdr:cNvPr id="5" name="Graphique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opLeftCell="A10" zoomScale="94" workbookViewId="0">
      <selection activeCell="R19" sqref="R19"/>
    </sheetView>
  </sheetViews>
  <sheetFormatPr baseColWidth="10" defaultRowHeight="14.5" x14ac:dyDescent="0.35"/>
  <cols>
    <col min="1" max="1" width="10.90625" style="7"/>
    <col min="2" max="2" width="44.81640625" style="16" customWidth="1"/>
    <col min="3" max="6" width="10.26953125" customWidth="1"/>
    <col min="7" max="7" width="10" customWidth="1"/>
    <col min="9" max="9" width="10.90625" style="7"/>
    <col min="12" max="12" width="10.90625" style="7"/>
    <col min="13" max="13" width="10.90625" style="3"/>
    <col min="19" max="19" width="10.90625" style="7"/>
  </cols>
  <sheetData>
    <row r="1" spans="1:19" x14ac:dyDescent="0.35">
      <c r="A1" s="6" t="s">
        <v>0</v>
      </c>
      <c r="B1" s="14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19</v>
      </c>
      <c r="H1" s="1" t="s">
        <v>20</v>
      </c>
      <c r="I1" s="9" t="s">
        <v>25</v>
      </c>
      <c r="L1" s="6" t="s">
        <v>0</v>
      </c>
      <c r="M1" s="6" t="s">
        <v>21</v>
      </c>
      <c r="N1" s="4" t="s">
        <v>22</v>
      </c>
      <c r="O1" s="4" t="s">
        <v>23</v>
      </c>
      <c r="P1" s="4" t="s">
        <v>24</v>
      </c>
      <c r="Q1" s="4" t="s">
        <v>19</v>
      </c>
      <c r="R1" s="4" t="s">
        <v>20</v>
      </c>
      <c r="S1" s="9" t="s">
        <v>25</v>
      </c>
    </row>
    <row r="2" spans="1:19" ht="29" x14ac:dyDescent="0.35">
      <c r="A2" s="8" t="s">
        <v>2</v>
      </c>
      <c r="B2" s="15" t="s">
        <v>3</v>
      </c>
      <c r="C2" s="17">
        <v>182</v>
      </c>
      <c r="D2" s="17">
        <v>360</v>
      </c>
      <c r="E2" s="17">
        <v>428</v>
      </c>
      <c r="F2" s="17">
        <v>383</v>
      </c>
      <c r="G2" s="17">
        <f>+SUM(C2:F2)</f>
        <v>1353</v>
      </c>
      <c r="H2" s="17">
        <v>960</v>
      </c>
      <c r="I2" s="18">
        <f>+G2/H2</f>
        <v>1.409375</v>
      </c>
      <c r="L2" s="27" t="s">
        <v>2</v>
      </c>
      <c r="M2" s="19">
        <v>182</v>
      </c>
      <c r="N2" s="19">
        <v>360</v>
      </c>
      <c r="O2" s="19">
        <v>428</v>
      </c>
      <c r="P2" s="19">
        <v>383</v>
      </c>
      <c r="Q2" s="19">
        <f>+SUM(M2:P2)</f>
        <v>1353</v>
      </c>
      <c r="R2" s="17">
        <v>960</v>
      </c>
      <c r="S2" s="18">
        <f>+Q2/R2</f>
        <v>1.409375</v>
      </c>
    </row>
    <row r="3" spans="1:19" x14ac:dyDescent="0.35">
      <c r="A3" s="31" t="s">
        <v>4</v>
      </c>
      <c r="B3" s="15" t="s">
        <v>5</v>
      </c>
      <c r="C3" s="2">
        <v>257</v>
      </c>
      <c r="D3" s="2">
        <v>310</v>
      </c>
      <c r="E3" s="5">
        <v>300</v>
      </c>
      <c r="F3" s="2">
        <v>297</v>
      </c>
      <c r="G3" s="5">
        <f t="shared" ref="G3:G13" si="0">+SUM(C3:F3)</f>
        <v>1164</v>
      </c>
      <c r="H3" s="2">
        <v>960</v>
      </c>
      <c r="I3" s="11">
        <f t="shared" ref="I3:I13" si="1">+G3/H3</f>
        <v>1.2124999999999999</v>
      </c>
      <c r="L3" s="27" t="s">
        <v>4</v>
      </c>
      <c r="M3" s="19">
        <f>+SUM(C3:C4)</f>
        <v>327</v>
      </c>
      <c r="N3" s="19">
        <f>+SUM(D3:D4)</f>
        <v>459</v>
      </c>
      <c r="O3" s="19">
        <f t="shared" ref="O3:Q3" si="2">+SUM(E3:E4)</f>
        <v>549</v>
      </c>
      <c r="P3" s="19">
        <f t="shared" si="2"/>
        <v>559</v>
      </c>
      <c r="Q3" s="19">
        <f t="shared" si="2"/>
        <v>1894</v>
      </c>
      <c r="R3" s="17">
        <v>1920</v>
      </c>
      <c r="S3" s="24">
        <f>+Q3/R3</f>
        <v>0.98645833333333333</v>
      </c>
    </row>
    <row r="4" spans="1:19" ht="29" x14ac:dyDescent="0.35">
      <c r="A4" s="32" t="s">
        <v>4</v>
      </c>
      <c r="B4" s="15" t="s">
        <v>6</v>
      </c>
      <c r="C4" s="2">
        <v>70</v>
      </c>
      <c r="D4" s="2">
        <v>149</v>
      </c>
      <c r="E4" s="5">
        <v>249</v>
      </c>
      <c r="F4" s="2">
        <v>262</v>
      </c>
      <c r="G4" s="5">
        <f t="shared" si="0"/>
        <v>730</v>
      </c>
      <c r="H4" s="2">
        <v>960</v>
      </c>
      <c r="I4" s="12">
        <f t="shared" si="1"/>
        <v>0.76041666666666663</v>
      </c>
      <c r="L4" s="27" t="s">
        <v>7</v>
      </c>
      <c r="M4" s="19">
        <f>+SUM(C5:C6)</f>
        <v>493</v>
      </c>
      <c r="N4" s="19">
        <f t="shared" ref="N4:Q4" si="3">+SUM(D5:D6)</f>
        <v>482</v>
      </c>
      <c r="O4" s="19">
        <f t="shared" si="3"/>
        <v>533</v>
      </c>
      <c r="P4" s="19">
        <f t="shared" si="3"/>
        <v>506</v>
      </c>
      <c r="Q4" s="19">
        <f t="shared" si="3"/>
        <v>2014</v>
      </c>
      <c r="R4" s="17">
        <v>1920</v>
      </c>
      <c r="S4" s="24">
        <f t="shared" ref="S4:S8" si="4">+Q4/R4</f>
        <v>1.0489583333333334</v>
      </c>
    </row>
    <row r="5" spans="1:19" x14ac:dyDescent="0.35">
      <c r="A5" s="31" t="s">
        <v>7</v>
      </c>
      <c r="B5" s="15" t="s">
        <v>8</v>
      </c>
      <c r="C5" s="2">
        <v>301</v>
      </c>
      <c r="D5" s="2">
        <v>277</v>
      </c>
      <c r="E5" s="5">
        <v>230</v>
      </c>
      <c r="F5" s="2">
        <v>259</v>
      </c>
      <c r="G5" s="5">
        <f t="shared" si="0"/>
        <v>1067</v>
      </c>
      <c r="H5" s="2">
        <v>960</v>
      </c>
      <c r="I5" s="11">
        <f t="shared" si="1"/>
        <v>1.1114583333333334</v>
      </c>
      <c r="L5" s="27" t="s">
        <v>10</v>
      </c>
      <c r="M5" s="19">
        <f>+SUM(C7:C8)</f>
        <v>477</v>
      </c>
      <c r="N5" s="19">
        <f t="shared" ref="N5:Q5" si="5">+SUM(D7:D8)</f>
        <v>659</v>
      </c>
      <c r="O5" s="19">
        <f t="shared" si="5"/>
        <v>519</v>
      </c>
      <c r="P5" s="19">
        <f t="shared" si="5"/>
        <v>479</v>
      </c>
      <c r="Q5" s="19">
        <f t="shared" si="5"/>
        <v>2134</v>
      </c>
      <c r="R5" s="17">
        <v>1920</v>
      </c>
      <c r="S5" s="24">
        <f t="shared" si="4"/>
        <v>1.1114583333333334</v>
      </c>
    </row>
    <row r="6" spans="1:19" x14ac:dyDescent="0.35">
      <c r="A6" s="32" t="s">
        <v>7</v>
      </c>
      <c r="B6" s="15" t="s">
        <v>9</v>
      </c>
      <c r="C6" s="2">
        <v>192</v>
      </c>
      <c r="D6" s="2">
        <v>205</v>
      </c>
      <c r="E6" s="5">
        <v>303</v>
      </c>
      <c r="F6" s="2">
        <v>247</v>
      </c>
      <c r="G6" s="5">
        <f t="shared" si="0"/>
        <v>947</v>
      </c>
      <c r="H6" s="2">
        <v>960</v>
      </c>
      <c r="I6" s="12">
        <f t="shared" si="1"/>
        <v>0.98645833333333333</v>
      </c>
      <c r="L6" s="27" t="s">
        <v>13</v>
      </c>
      <c r="M6" s="19">
        <f>+SUM(C9:C10)</f>
        <v>373</v>
      </c>
      <c r="N6" s="19">
        <f t="shared" ref="N6:Q6" si="6">+SUM(D9:D10)</f>
        <v>426</v>
      </c>
      <c r="O6" s="19">
        <f t="shared" si="6"/>
        <v>417</v>
      </c>
      <c r="P6" s="19">
        <f t="shared" si="6"/>
        <v>382</v>
      </c>
      <c r="Q6" s="19">
        <f t="shared" si="6"/>
        <v>1598</v>
      </c>
      <c r="R6" s="17">
        <v>1920</v>
      </c>
      <c r="S6" s="25">
        <f t="shared" si="4"/>
        <v>0.83229166666666665</v>
      </c>
    </row>
    <row r="7" spans="1:19" x14ac:dyDescent="0.35">
      <c r="A7" s="31" t="s">
        <v>10</v>
      </c>
      <c r="B7" s="15" t="s">
        <v>11</v>
      </c>
      <c r="C7" s="2">
        <v>196</v>
      </c>
      <c r="D7" s="2">
        <v>234</v>
      </c>
      <c r="E7" s="5">
        <v>225</v>
      </c>
      <c r="F7" s="2">
        <v>200</v>
      </c>
      <c r="G7" s="5">
        <f t="shared" si="0"/>
        <v>855</v>
      </c>
      <c r="H7" s="2">
        <v>960</v>
      </c>
      <c r="I7" s="12">
        <f t="shared" si="1"/>
        <v>0.890625</v>
      </c>
      <c r="L7" s="27" t="s">
        <v>16</v>
      </c>
      <c r="M7" s="19">
        <f>+SUM(C11:C12)</f>
        <v>344</v>
      </c>
      <c r="N7" s="19">
        <f t="shared" ref="N7:Q7" si="7">+SUM(D11:D12)</f>
        <v>423</v>
      </c>
      <c r="O7" s="19">
        <f t="shared" si="7"/>
        <v>404</v>
      </c>
      <c r="P7" s="19">
        <f t="shared" si="7"/>
        <v>537</v>
      </c>
      <c r="Q7" s="19">
        <f t="shared" si="7"/>
        <v>1708</v>
      </c>
      <c r="R7" s="17">
        <v>1920</v>
      </c>
      <c r="S7" s="25">
        <f t="shared" si="4"/>
        <v>0.88958333333333328</v>
      </c>
    </row>
    <row r="8" spans="1:19" x14ac:dyDescent="0.35">
      <c r="A8" s="32" t="s">
        <v>10</v>
      </c>
      <c r="B8" s="15" t="s">
        <v>12</v>
      </c>
      <c r="C8" s="2">
        <v>281</v>
      </c>
      <c r="D8" s="2">
        <v>425</v>
      </c>
      <c r="E8" s="5">
        <v>294</v>
      </c>
      <c r="F8" s="2">
        <v>279</v>
      </c>
      <c r="G8" s="5">
        <f t="shared" si="0"/>
        <v>1279</v>
      </c>
      <c r="H8" s="2">
        <v>960</v>
      </c>
      <c r="I8" s="11">
        <f t="shared" si="1"/>
        <v>1.3322916666666667</v>
      </c>
      <c r="L8" s="27" t="s">
        <v>19</v>
      </c>
      <c r="M8" s="19">
        <f>+SUM(M2:M7)</f>
        <v>2196</v>
      </c>
      <c r="N8" s="19">
        <f t="shared" ref="N8:Q8" si="8">+SUM(N2:N7)</f>
        <v>2809</v>
      </c>
      <c r="O8" s="19">
        <f t="shared" si="8"/>
        <v>2850</v>
      </c>
      <c r="P8" s="19">
        <f t="shared" si="8"/>
        <v>2846</v>
      </c>
      <c r="Q8" s="19">
        <f t="shared" si="8"/>
        <v>10701</v>
      </c>
      <c r="R8" s="23">
        <f>+SUM(R2:R7)</f>
        <v>10560</v>
      </c>
      <c r="S8" s="26">
        <f t="shared" si="4"/>
        <v>1.0133522727272728</v>
      </c>
    </row>
    <row r="9" spans="1:19" ht="29" x14ac:dyDescent="0.35">
      <c r="A9" s="31" t="s">
        <v>13</v>
      </c>
      <c r="B9" s="15" t="s">
        <v>14</v>
      </c>
      <c r="C9" s="17">
        <v>223</v>
      </c>
      <c r="D9" s="17">
        <v>281</v>
      </c>
      <c r="E9" s="17">
        <v>255</v>
      </c>
      <c r="F9" s="17">
        <v>220</v>
      </c>
      <c r="G9" s="17">
        <f t="shared" si="0"/>
        <v>979</v>
      </c>
      <c r="H9" s="17">
        <v>960</v>
      </c>
      <c r="I9" s="18">
        <f t="shared" si="1"/>
        <v>1.0197916666666667</v>
      </c>
      <c r="L9" s="28"/>
      <c r="M9" s="22"/>
    </row>
    <row r="10" spans="1:19" x14ac:dyDescent="0.35">
      <c r="A10" s="32" t="s">
        <v>13</v>
      </c>
      <c r="B10" s="20" t="s">
        <v>15</v>
      </c>
      <c r="C10" s="2">
        <v>150</v>
      </c>
      <c r="D10" s="2">
        <v>145</v>
      </c>
      <c r="E10" s="5">
        <v>162</v>
      </c>
      <c r="F10" s="2">
        <v>162</v>
      </c>
      <c r="G10" s="5">
        <f t="shared" si="0"/>
        <v>619</v>
      </c>
      <c r="H10" s="2">
        <v>960</v>
      </c>
      <c r="I10" s="13">
        <f t="shared" si="1"/>
        <v>0.64479166666666665</v>
      </c>
      <c r="L10" s="28"/>
      <c r="M10" s="22"/>
    </row>
    <row r="11" spans="1:19" x14ac:dyDescent="0.35">
      <c r="A11" s="31" t="s">
        <v>16</v>
      </c>
      <c r="B11" s="15" t="s">
        <v>17</v>
      </c>
      <c r="C11" s="2">
        <v>195</v>
      </c>
      <c r="D11" s="2">
        <v>236</v>
      </c>
      <c r="E11" s="5">
        <v>220</v>
      </c>
      <c r="F11" s="2">
        <v>266</v>
      </c>
      <c r="G11" s="5">
        <f t="shared" si="0"/>
        <v>917</v>
      </c>
      <c r="H11" s="2">
        <v>960</v>
      </c>
      <c r="I11" s="12">
        <f t="shared" si="1"/>
        <v>0.95520833333333333</v>
      </c>
      <c r="L11" s="28"/>
      <c r="M11" s="22"/>
    </row>
    <row r="12" spans="1:19" x14ac:dyDescent="0.35">
      <c r="A12" s="32" t="s">
        <v>16</v>
      </c>
      <c r="B12" s="15" t="s">
        <v>18</v>
      </c>
      <c r="C12" s="2">
        <v>149</v>
      </c>
      <c r="D12" s="2">
        <v>187</v>
      </c>
      <c r="E12" s="5">
        <v>184</v>
      </c>
      <c r="F12" s="2">
        <v>271</v>
      </c>
      <c r="G12" s="5">
        <f t="shared" si="0"/>
        <v>791</v>
      </c>
      <c r="H12" s="2">
        <v>960</v>
      </c>
      <c r="I12" s="12">
        <f t="shared" si="1"/>
        <v>0.82395833333333335</v>
      </c>
      <c r="L12" s="29"/>
      <c r="M12" s="21"/>
    </row>
    <row r="13" spans="1:19" x14ac:dyDescent="0.35">
      <c r="A13" s="33" t="s">
        <v>19</v>
      </c>
      <c r="B13" s="33"/>
      <c r="C13" s="2">
        <v>2196</v>
      </c>
      <c r="D13" s="2">
        <v>2809</v>
      </c>
      <c r="E13" s="5">
        <v>2850</v>
      </c>
      <c r="F13" s="2">
        <v>2846</v>
      </c>
      <c r="G13" s="5">
        <f t="shared" si="0"/>
        <v>10701</v>
      </c>
      <c r="H13" s="2">
        <f>+SUM(H2:H12)</f>
        <v>10560</v>
      </c>
      <c r="I13" s="10">
        <f t="shared" si="1"/>
        <v>1.0133522727272728</v>
      </c>
    </row>
    <row r="16" spans="1:19" x14ac:dyDescent="0.35">
      <c r="B16"/>
      <c r="I16"/>
    </row>
    <row r="17" spans="2:9" x14ac:dyDescent="0.35">
      <c r="B17"/>
      <c r="I17"/>
    </row>
    <row r="18" spans="2:9" x14ac:dyDescent="0.35">
      <c r="B18"/>
      <c r="I18"/>
    </row>
    <row r="19" spans="2:9" x14ac:dyDescent="0.35">
      <c r="B19"/>
      <c r="I19"/>
    </row>
    <row r="20" spans="2:9" x14ac:dyDescent="0.35">
      <c r="B20"/>
      <c r="I20"/>
    </row>
    <row r="21" spans="2:9" x14ac:dyDescent="0.35">
      <c r="B21"/>
      <c r="I21"/>
    </row>
    <row r="22" spans="2:9" x14ac:dyDescent="0.35">
      <c r="B22"/>
      <c r="I22"/>
    </row>
    <row r="23" spans="2:9" x14ac:dyDescent="0.35">
      <c r="B23"/>
      <c r="I23"/>
    </row>
    <row r="24" spans="2:9" x14ac:dyDescent="0.35">
      <c r="B24"/>
      <c r="I24"/>
    </row>
    <row r="25" spans="2:9" x14ac:dyDescent="0.35">
      <c r="B25"/>
      <c r="I25"/>
    </row>
    <row r="26" spans="2:9" x14ac:dyDescent="0.35">
      <c r="B26"/>
      <c r="I26"/>
    </row>
    <row r="27" spans="2:9" x14ac:dyDescent="0.35">
      <c r="B27"/>
      <c r="I27"/>
    </row>
    <row r="28" spans="2:9" x14ac:dyDescent="0.35">
      <c r="B28" s="7"/>
      <c r="I28"/>
    </row>
  </sheetData>
  <mergeCells count="6">
    <mergeCell ref="A13:B13"/>
    <mergeCell ref="A3:A4"/>
    <mergeCell ref="A5:A6"/>
    <mergeCell ref="A7:A8"/>
    <mergeCell ref="A9:A10"/>
    <mergeCell ref="A11:A12"/>
  </mergeCells>
  <pageMargins left="0.7" right="0.7" top="0.75" bottom="0.75" header="0.3" footer="0.3"/>
  <pageSetup paperSize="9" orientation="portrait" r:id="rId1"/>
  <ignoredErrors>
    <ignoredError sqref="M3:Q7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G10" sqref="G10"/>
    </sheetView>
  </sheetViews>
  <sheetFormatPr baseColWidth="10" defaultRowHeight="14.5" x14ac:dyDescent="0.35"/>
  <cols>
    <col min="2" max="2" width="58.90625" bestFit="1" customWidth="1"/>
    <col min="3" max="3" width="14.26953125" bestFit="1" customWidth="1"/>
  </cols>
  <sheetData>
    <row r="1" spans="1:3" x14ac:dyDescent="0.35">
      <c r="A1" s="38" t="s">
        <v>0</v>
      </c>
      <c r="B1" s="38" t="s">
        <v>1</v>
      </c>
      <c r="C1" s="38" t="s">
        <v>146</v>
      </c>
    </row>
    <row r="2" spans="1:3" x14ac:dyDescent="0.35">
      <c r="A2" s="37" t="s">
        <v>4</v>
      </c>
      <c r="B2" s="39" t="s">
        <v>5</v>
      </c>
      <c r="C2" s="41">
        <v>485515.8</v>
      </c>
    </row>
    <row r="3" spans="1:3" x14ac:dyDescent="0.35">
      <c r="A3" s="37"/>
      <c r="B3" s="39" t="s">
        <v>6</v>
      </c>
      <c r="C3" s="41">
        <v>355577.25</v>
      </c>
    </row>
    <row r="4" spans="1:3" x14ac:dyDescent="0.35">
      <c r="A4" s="37" t="s">
        <v>7</v>
      </c>
      <c r="B4" s="39" t="s">
        <v>8</v>
      </c>
      <c r="C4" s="41">
        <v>489562.5</v>
      </c>
    </row>
    <row r="5" spans="1:3" x14ac:dyDescent="0.35">
      <c r="A5" s="37" t="s">
        <v>147</v>
      </c>
      <c r="B5" s="39" t="s">
        <v>9</v>
      </c>
      <c r="C5" s="41">
        <v>419234.55</v>
      </c>
    </row>
    <row r="6" spans="1:3" x14ac:dyDescent="0.35">
      <c r="A6" s="37" t="s">
        <v>10</v>
      </c>
      <c r="B6" s="39" t="s">
        <v>11</v>
      </c>
      <c r="C6" s="41">
        <v>400421.7</v>
      </c>
    </row>
    <row r="7" spans="1:3" x14ac:dyDescent="0.35">
      <c r="A7" s="37" t="s">
        <v>148</v>
      </c>
      <c r="B7" s="39" t="s">
        <v>12</v>
      </c>
      <c r="C7" s="41">
        <v>481468.05</v>
      </c>
    </row>
    <row r="8" spans="1:3" x14ac:dyDescent="0.35">
      <c r="A8" s="37" t="s">
        <v>16</v>
      </c>
      <c r="B8" s="39" t="s">
        <v>17</v>
      </c>
      <c r="C8" s="41">
        <v>415843.05</v>
      </c>
    </row>
    <row r="9" spans="1:3" x14ac:dyDescent="0.35">
      <c r="A9" s="37" t="s">
        <v>149</v>
      </c>
      <c r="B9" s="39" t="s">
        <v>18</v>
      </c>
      <c r="C9" s="41">
        <v>403047.75</v>
      </c>
    </row>
    <row r="10" spans="1:3" x14ac:dyDescent="0.35">
      <c r="A10" s="40" t="s">
        <v>2</v>
      </c>
      <c r="B10" s="39" t="s">
        <v>3</v>
      </c>
      <c r="C10" s="41">
        <v>468999.3</v>
      </c>
    </row>
    <row r="11" spans="1:3" x14ac:dyDescent="0.35">
      <c r="A11" s="37" t="s">
        <v>13</v>
      </c>
      <c r="B11" s="39" t="s">
        <v>14</v>
      </c>
      <c r="C11" s="41">
        <v>420722.4</v>
      </c>
    </row>
    <row r="12" spans="1:3" x14ac:dyDescent="0.35">
      <c r="A12" s="37" t="s">
        <v>150</v>
      </c>
      <c r="B12" s="39" t="s">
        <v>15</v>
      </c>
      <c r="C12" s="41">
        <v>329983.5</v>
      </c>
    </row>
    <row r="13" spans="1:3" x14ac:dyDescent="0.35">
      <c r="A13" s="40" t="s">
        <v>19</v>
      </c>
      <c r="B13" s="39"/>
      <c r="C13" s="41">
        <v>4670375.8499999996</v>
      </c>
    </row>
  </sheetData>
  <mergeCells count="5">
    <mergeCell ref="A2:A3"/>
    <mergeCell ref="A4:A5"/>
    <mergeCell ref="A6:A7"/>
    <mergeCell ref="A8:A9"/>
    <mergeCell ref="A11:A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>
      <selection activeCell="B14" sqref="B14:B17"/>
    </sheetView>
  </sheetViews>
  <sheetFormatPr baseColWidth="10" defaultRowHeight="14.5" x14ac:dyDescent="0.35"/>
  <cols>
    <col min="2" max="2" width="58.90625" customWidth="1"/>
    <col min="3" max="3" width="26.6328125" bestFit="1" customWidth="1"/>
    <col min="4" max="4" width="14.26953125" bestFit="1" customWidth="1"/>
    <col min="5" max="5" width="19.26953125" bestFit="1" customWidth="1"/>
  </cols>
  <sheetData>
    <row r="1" spans="1:9" x14ac:dyDescent="0.35">
      <c r="A1" s="4" t="s">
        <v>0</v>
      </c>
      <c r="B1" s="4" t="s">
        <v>1</v>
      </c>
      <c r="C1" s="4" t="s">
        <v>26</v>
      </c>
      <c r="D1" s="4" t="s">
        <v>27</v>
      </c>
      <c r="E1" s="4" t="s">
        <v>28</v>
      </c>
      <c r="F1" s="6" t="s">
        <v>21</v>
      </c>
      <c r="G1" s="4" t="s">
        <v>22</v>
      </c>
      <c r="H1" s="4" t="s">
        <v>23</v>
      </c>
      <c r="I1" s="4" t="s">
        <v>24</v>
      </c>
    </row>
    <row r="2" spans="1:9" x14ac:dyDescent="0.35">
      <c r="A2" s="34" t="s">
        <v>2</v>
      </c>
      <c r="B2" s="34" t="s">
        <v>3</v>
      </c>
      <c r="C2" s="5" t="s">
        <v>29</v>
      </c>
      <c r="D2" s="5" t="s">
        <v>30</v>
      </c>
      <c r="E2" s="5" t="s">
        <v>31</v>
      </c>
      <c r="F2" s="5">
        <v>37</v>
      </c>
      <c r="G2" s="5">
        <v>98</v>
      </c>
      <c r="H2" s="30">
        <v>97</v>
      </c>
      <c r="I2" s="30">
        <v>142</v>
      </c>
    </row>
    <row r="3" spans="1:9" x14ac:dyDescent="0.35">
      <c r="A3" s="35"/>
      <c r="B3" s="35"/>
      <c r="C3" s="5" t="s">
        <v>32</v>
      </c>
      <c r="D3" s="5" t="s">
        <v>33</v>
      </c>
      <c r="E3" s="5" t="s">
        <v>34</v>
      </c>
      <c r="F3" s="5">
        <v>41</v>
      </c>
      <c r="G3" s="5">
        <v>88</v>
      </c>
      <c r="H3" s="30">
        <v>113</v>
      </c>
      <c r="I3" s="30">
        <v>88</v>
      </c>
    </row>
    <row r="4" spans="1:9" x14ac:dyDescent="0.35">
      <c r="A4" s="35"/>
      <c r="B4" s="35"/>
      <c r="C4" s="5" t="s">
        <v>35</v>
      </c>
      <c r="D4" s="5" t="s">
        <v>36</v>
      </c>
      <c r="E4" s="5" t="s">
        <v>37</v>
      </c>
      <c r="F4" s="5">
        <v>63</v>
      </c>
      <c r="G4" s="5">
        <v>99</v>
      </c>
      <c r="H4" s="30">
        <v>114</v>
      </c>
      <c r="I4" s="30">
        <v>76</v>
      </c>
    </row>
    <row r="5" spans="1:9" x14ac:dyDescent="0.35">
      <c r="A5" s="36"/>
      <c r="B5" s="36"/>
      <c r="C5" s="5" t="s">
        <v>38</v>
      </c>
      <c r="D5" s="5" t="s">
        <v>39</v>
      </c>
      <c r="E5" s="5" t="s">
        <v>40</v>
      </c>
      <c r="F5" s="5">
        <v>41</v>
      </c>
      <c r="G5" s="5">
        <v>75</v>
      </c>
      <c r="H5" s="30">
        <v>104</v>
      </c>
      <c r="I5" s="30">
        <v>77</v>
      </c>
    </row>
    <row r="6" spans="1:9" x14ac:dyDescent="0.35">
      <c r="A6" s="34" t="s">
        <v>4</v>
      </c>
      <c r="B6" s="34" t="s">
        <v>5</v>
      </c>
      <c r="C6" s="5" t="s">
        <v>41</v>
      </c>
      <c r="D6" s="5" t="s">
        <v>42</v>
      </c>
      <c r="E6" s="5" t="s">
        <v>43</v>
      </c>
      <c r="F6" s="5">
        <v>81</v>
      </c>
      <c r="G6" s="5">
        <v>88</v>
      </c>
      <c r="H6" s="30">
        <v>78</v>
      </c>
      <c r="I6" s="30">
        <v>76</v>
      </c>
    </row>
    <row r="7" spans="1:9" x14ac:dyDescent="0.35">
      <c r="A7" s="35"/>
      <c r="B7" s="35"/>
      <c r="C7" s="5" t="s">
        <v>44</v>
      </c>
      <c r="D7" s="5" t="s">
        <v>45</v>
      </c>
      <c r="E7" s="5" t="s">
        <v>46</v>
      </c>
      <c r="F7" s="5">
        <v>63</v>
      </c>
      <c r="G7" s="5">
        <v>77</v>
      </c>
      <c r="H7" s="30">
        <v>76</v>
      </c>
      <c r="I7" s="30">
        <v>58</v>
      </c>
    </row>
    <row r="8" spans="1:9" x14ac:dyDescent="0.35">
      <c r="A8" s="35"/>
      <c r="B8" s="35"/>
      <c r="C8" s="5" t="s">
        <v>47</v>
      </c>
      <c r="D8" s="5" t="s">
        <v>48</v>
      </c>
      <c r="E8" s="5" t="s">
        <v>49</v>
      </c>
      <c r="F8" s="5">
        <v>54</v>
      </c>
      <c r="G8" s="5">
        <v>58</v>
      </c>
      <c r="H8" s="30">
        <v>59</v>
      </c>
      <c r="I8" s="30">
        <v>68</v>
      </c>
    </row>
    <row r="9" spans="1:9" x14ac:dyDescent="0.35">
      <c r="A9" s="35"/>
      <c r="B9" s="36"/>
      <c r="C9" s="5" t="s">
        <v>50</v>
      </c>
      <c r="D9" s="5" t="s">
        <v>51</v>
      </c>
      <c r="E9" s="5" t="s">
        <v>52</v>
      </c>
      <c r="F9" s="5">
        <v>59</v>
      </c>
      <c r="G9" s="5">
        <v>87</v>
      </c>
      <c r="H9" s="30">
        <v>87</v>
      </c>
      <c r="I9" s="30">
        <v>95</v>
      </c>
    </row>
    <row r="10" spans="1:9" x14ac:dyDescent="0.35">
      <c r="A10" s="35"/>
      <c r="B10" s="34" t="s">
        <v>6</v>
      </c>
      <c r="C10" s="5" t="s">
        <v>53</v>
      </c>
      <c r="D10" s="5" t="s">
        <v>54</v>
      </c>
      <c r="E10" s="5" t="s">
        <v>55</v>
      </c>
      <c r="F10" s="5">
        <v>9</v>
      </c>
      <c r="G10" s="5">
        <v>38</v>
      </c>
      <c r="H10" s="30">
        <v>71</v>
      </c>
      <c r="I10" s="30">
        <v>90</v>
      </c>
    </row>
    <row r="11" spans="1:9" x14ac:dyDescent="0.35">
      <c r="A11" s="35"/>
      <c r="B11" s="35"/>
      <c r="C11" s="5" t="s">
        <v>56</v>
      </c>
      <c r="D11" s="5" t="s">
        <v>57</v>
      </c>
      <c r="E11" s="5" t="s">
        <v>58</v>
      </c>
      <c r="F11" s="5">
        <v>12</v>
      </c>
      <c r="G11" s="5">
        <v>36</v>
      </c>
      <c r="H11" s="30">
        <v>64</v>
      </c>
      <c r="I11" s="30">
        <v>63</v>
      </c>
    </row>
    <row r="12" spans="1:9" x14ac:dyDescent="0.35">
      <c r="A12" s="35"/>
      <c r="B12" s="35"/>
      <c r="C12" s="5" t="s">
        <v>59</v>
      </c>
      <c r="D12" s="5" t="s">
        <v>35</v>
      </c>
      <c r="E12" s="5" t="s">
        <v>60</v>
      </c>
      <c r="F12" s="5">
        <v>2</v>
      </c>
      <c r="G12" s="5">
        <v>21</v>
      </c>
      <c r="H12" s="30">
        <v>41</v>
      </c>
      <c r="I12" s="30">
        <v>28</v>
      </c>
    </row>
    <row r="13" spans="1:9" x14ac:dyDescent="0.35">
      <c r="A13" s="36"/>
      <c r="B13" s="36"/>
      <c r="C13" s="5" t="s">
        <v>61</v>
      </c>
      <c r="D13" s="5" t="s">
        <v>62</v>
      </c>
      <c r="E13" s="5" t="s">
        <v>63</v>
      </c>
      <c r="F13" s="5">
        <v>47</v>
      </c>
      <c r="G13" s="5">
        <v>54</v>
      </c>
      <c r="H13" s="30">
        <v>73</v>
      </c>
      <c r="I13" s="30">
        <v>81</v>
      </c>
    </row>
    <row r="14" spans="1:9" x14ac:dyDescent="0.35">
      <c r="A14" s="34" t="s">
        <v>7</v>
      </c>
      <c r="B14" s="34" t="s">
        <v>8</v>
      </c>
      <c r="C14" s="5" t="s">
        <v>64</v>
      </c>
      <c r="D14" s="5" t="s">
        <v>65</v>
      </c>
      <c r="E14" s="5" t="s">
        <v>66</v>
      </c>
      <c r="F14" s="5">
        <v>86</v>
      </c>
      <c r="G14" s="5">
        <v>84</v>
      </c>
      <c r="H14" s="30">
        <v>52</v>
      </c>
      <c r="I14" s="30">
        <v>79</v>
      </c>
    </row>
    <row r="15" spans="1:9" x14ac:dyDescent="0.35">
      <c r="A15" s="35"/>
      <c r="B15" s="35"/>
      <c r="C15" s="5" t="s">
        <v>67</v>
      </c>
      <c r="D15" s="5" t="s">
        <v>68</v>
      </c>
      <c r="E15" s="5" t="s">
        <v>69</v>
      </c>
      <c r="F15" s="5">
        <v>56</v>
      </c>
      <c r="G15" s="5">
        <v>80</v>
      </c>
      <c r="H15" s="30">
        <v>73</v>
      </c>
      <c r="I15" s="30">
        <v>64</v>
      </c>
    </row>
    <row r="16" spans="1:9" x14ac:dyDescent="0.35">
      <c r="A16" s="35"/>
      <c r="B16" s="35"/>
      <c r="C16" s="5" t="s">
        <v>70</v>
      </c>
      <c r="D16" s="5" t="s">
        <v>71</v>
      </c>
      <c r="E16" s="5" t="s">
        <v>72</v>
      </c>
      <c r="F16" s="5">
        <v>87</v>
      </c>
      <c r="G16" s="5">
        <v>58</v>
      </c>
      <c r="H16" s="30">
        <v>49</v>
      </c>
      <c r="I16" s="30">
        <v>53</v>
      </c>
    </row>
    <row r="17" spans="1:9" x14ac:dyDescent="0.35">
      <c r="A17" s="35"/>
      <c r="B17" s="36"/>
      <c r="C17" s="5" t="s">
        <v>73</v>
      </c>
      <c r="D17" s="5" t="s">
        <v>74</v>
      </c>
      <c r="E17" s="5" t="s">
        <v>75</v>
      </c>
      <c r="F17" s="5">
        <v>72</v>
      </c>
      <c r="G17" s="5">
        <v>55</v>
      </c>
      <c r="H17" s="30">
        <v>56</v>
      </c>
      <c r="I17" s="30">
        <v>63</v>
      </c>
    </row>
    <row r="18" spans="1:9" x14ac:dyDescent="0.35">
      <c r="A18" s="35"/>
      <c r="B18" s="34" t="s">
        <v>9</v>
      </c>
      <c r="C18" s="5" t="s">
        <v>76</v>
      </c>
      <c r="D18" s="5" t="s">
        <v>77</v>
      </c>
      <c r="E18" s="5" t="s">
        <v>78</v>
      </c>
      <c r="F18" s="5">
        <v>45</v>
      </c>
      <c r="G18" s="5">
        <v>38</v>
      </c>
      <c r="H18" s="30">
        <v>100</v>
      </c>
      <c r="I18" s="30">
        <v>54</v>
      </c>
    </row>
    <row r="19" spans="1:9" x14ac:dyDescent="0.35">
      <c r="A19" s="35"/>
      <c r="B19" s="35"/>
      <c r="C19" s="5" t="s">
        <v>79</v>
      </c>
      <c r="D19" s="5" t="s">
        <v>68</v>
      </c>
      <c r="E19" s="5" t="s">
        <v>80</v>
      </c>
      <c r="F19" s="5">
        <v>48</v>
      </c>
      <c r="G19" s="5">
        <v>50</v>
      </c>
      <c r="H19" s="30">
        <v>65</v>
      </c>
      <c r="I19" s="30">
        <v>69</v>
      </c>
    </row>
    <row r="20" spans="1:9" x14ac:dyDescent="0.35">
      <c r="A20" s="35"/>
      <c r="B20" s="35"/>
      <c r="C20" s="5" t="s">
        <v>81</v>
      </c>
      <c r="D20" s="5" t="s">
        <v>82</v>
      </c>
      <c r="E20" s="5" t="s">
        <v>83</v>
      </c>
      <c r="F20" s="5">
        <v>46</v>
      </c>
      <c r="G20" s="5">
        <v>55</v>
      </c>
      <c r="H20" s="30">
        <v>66</v>
      </c>
      <c r="I20" s="30">
        <v>64</v>
      </c>
    </row>
    <row r="21" spans="1:9" x14ac:dyDescent="0.35">
      <c r="A21" s="36"/>
      <c r="B21" s="36"/>
      <c r="C21" s="5" t="s">
        <v>84</v>
      </c>
      <c r="D21" s="5" t="s">
        <v>85</v>
      </c>
      <c r="E21" s="5" t="s">
        <v>86</v>
      </c>
      <c r="F21" s="5">
        <v>53</v>
      </c>
      <c r="G21" s="5">
        <v>62</v>
      </c>
      <c r="H21" s="30">
        <v>72</v>
      </c>
      <c r="I21" s="30">
        <v>60</v>
      </c>
    </row>
    <row r="22" spans="1:9" x14ac:dyDescent="0.35">
      <c r="A22" s="34" t="s">
        <v>10</v>
      </c>
      <c r="B22" s="34" t="s">
        <v>11</v>
      </c>
      <c r="C22" s="5" t="s">
        <v>87</v>
      </c>
      <c r="D22" s="5" t="s">
        <v>74</v>
      </c>
      <c r="E22" s="5" t="s">
        <v>88</v>
      </c>
      <c r="F22" s="5">
        <v>58</v>
      </c>
      <c r="G22" s="5">
        <v>58</v>
      </c>
      <c r="H22" s="30">
        <v>48</v>
      </c>
      <c r="I22" s="30">
        <v>46</v>
      </c>
    </row>
    <row r="23" spans="1:9" x14ac:dyDescent="0.35">
      <c r="A23" s="35"/>
      <c r="B23" s="35"/>
      <c r="C23" s="5" t="s">
        <v>89</v>
      </c>
      <c r="D23" s="5" t="s">
        <v>90</v>
      </c>
      <c r="E23" s="5" t="s">
        <v>91</v>
      </c>
      <c r="F23" s="5">
        <v>47</v>
      </c>
      <c r="G23" s="5">
        <v>59</v>
      </c>
      <c r="H23" s="30">
        <v>63</v>
      </c>
      <c r="I23" s="30">
        <v>74</v>
      </c>
    </row>
    <row r="24" spans="1:9" x14ac:dyDescent="0.35">
      <c r="A24" s="35"/>
      <c r="B24" s="35"/>
      <c r="C24" s="5" t="s">
        <v>92</v>
      </c>
      <c r="D24" s="5" t="s">
        <v>93</v>
      </c>
      <c r="E24" s="5" t="s">
        <v>94</v>
      </c>
      <c r="F24" s="5">
        <v>63</v>
      </c>
      <c r="G24" s="5">
        <v>77</v>
      </c>
      <c r="H24" s="30">
        <v>63</v>
      </c>
      <c r="I24" s="30">
        <v>45</v>
      </c>
    </row>
    <row r="25" spans="1:9" x14ac:dyDescent="0.35">
      <c r="A25" s="35"/>
      <c r="B25" s="36"/>
      <c r="C25" s="5" t="s">
        <v>95</v>
      </c>
      <c r="D25" s="5" t="s">
        <v>96</v>
      </c>
      <c r="E25" s="5" t="s">
        <v>97</v>
      </c>
      <c r="F25" s="5">
        <v>28</v>
      </c>
      <c r="G25" s="5">
        <v>40</v>
      </c>
      <c r="H25" s="30">
        <v>51</v>
      </c>
      <c r="I25" s="30">
        <v>35</v>
      </c>
    </row>
    <row r="26" spans="1:9" x14ac:dyDescent="0.35">
      <c r="A26" s="35"/>
      <c r="B26" s="34" t="s">
        <v>12</v>
      </c>
      <c r="C26" s="5" t="s">
        <v>98</v>
      </c>
      <c r="D26" s="5" t="s">
        <v>45</v>
      </c>
      <c r="E26" s="5" t="s">
        <v>99</v>
      </c>
      <c r="F26" s="5">
        <v>58</v>
      </c>
      <c r="G26" s="5">
        <v>87</v>
      </c>
      <c r="H26" s="30">
        <v>77</v>
      </c>
      <c r="I26" s="30">
        <v>83</v>
      </c>
    </row>
    <row r="27" spans="1:9" x14ac:dyDescent="0.35">
      <c r="A27" s="35"/>
      <c r="B27" s="35"/>
      <c r="C27" s="5" t="s">
        <v>100</v>
      </c>
      <c r="D27" s="5" t="s">
        <v>42</v>
      </c>
      <c r="E27" s="5" t="s">
        <v>101</v>
      </c>
      <c r="F27" s="5">
        <v>67</v>
      </c>
      <c r="G27" s="5">
        <v>185</v>
      </c>
      <c r="H27" s="30">
        <v>63</v>
      </c>
      <c r="I27" s="30">
        <v>115</v>
      </c>
    </row>
    <row r="28" spans="1:9" x14ac:dyDescent="0.35">
      <c r="A28" s="35"/>
      <c r="B28" s="35"/>
      <c r="C28" s="5" t="s">
        <v>102</v>
      </c>
      <c r="D28" s="5" t="s">
        <v>103</v>
      </c>
      <c r="E28" s="5" t="s">
        <v>104</v>
      </c>
      <c r="F28" s="5">
        <v>83</v>
      </c>
      <c r="G28" s="5">
        <v>88</v>
      </c>
      <c r="H28" s="30">
        <v>80</v>
      </c>
      <c r="I28" s="30">
        <v>39</v>
      </c>
    </row>
    <row r="29" spans="1:9" x14ac:dyDescent="0.35">
      <c r="A29" s="36"/>
      <c r="B29" s="36"/>
      <c r="C29" s="5" t="s">
        <v>105</v>
      </c>
      <c r="D29" s="5" t="s">
        <v>106</v>
      </c>
      <c r="E29" s="5" t="s">
        <v>107</v>
      </c>
      <c r="F29" s="5">
        <v>73</v>
      </c>
      <c r="G29" s="5">
        <v>65</v>
      </c>
      <c r="H29" s="30">
        <v>74</v>
      </c>
      <c r="I29" s="30">
        <v>42</v>
      </c>
    </row>
    <row r="30" spans="1:9" x14ac:dyDescent="0.35">
      <c r="A30" s="34" t="s">
        <v>13</v>
      </c>
      <c r="B30" s="34" t="s">
        <v>14</v>
      </c>
      <c r="C30" s="5" t="s">
        <v>108</v>
      </c>
      <c r="D30" s="5" t="s">
        <v>74</v>
      </c>
      <c r="E30" s="5" t="s">
        <v>109</v>
      </c>
      <c r="F30" s="5">
        <v>58</v>
      </c>
      <c r="G30" s="5">
        <v>70</v>
      </c>
      <c r="H30" s="30">
        <v>70</v>
      </c>
      <c r="I30" s="30">
        <v>55</v>
      </c>
    </row>
    <row r="31" spans="1:9" x14ac:dyDescent="0.35">
      <c r="A31" s="35"/>
      <c r="B31" s="35"/>
      <c r="C31" s="5" t="s">
        <v>110</v>
      </c>
      <c r="D31" s="5" t="s">
        <v>111</v>
      </c>
      <c r="E31" s="5" t="s">
        <v>112</v>
      </c>
      <c r="F31" s="5">
        <v>64</v>
      </c>
      <c r="G31" s="5">
        <v>76</v>
      </c>
      <c r="H31" s="30">
        <v>55</v>
      </c>
      <c r="I31" s="30">
        <v>55</v>
      </c>
    </row>
    <row r="32" spans="1:9" x14ac:dyDescent="0.35">
      <c r="A32" s="35"/>
      <c r="B32" s="35"/>
      <c r="C32" s="5" t="s">
        <v>113</v>
      </c>
      <c r="D32" s="5" t="s">
        <v>114</v>
      </c>
      <c r="E32" s="5" t="s">
        <v>115</v>
      </c>
      <c r="F32" s="5">
        <v>53</v>
      </c>
      <c r="G32" s="5">
        <v>80</v>
      </c>
      <c r="H32" s="30">
        <v>77</v>
      </c>
      <c r="I32" s="30">
        <v>60</v>
      </c>
    </row>
    <row r="33" spans="1:9" x14ac:dyDescent="0.35">
      <c r="A33" s="35"/>
      <c r="B33" s="36"/>
      <c r="C33" s="5" t="s">
        <v>116</v>
      </c>
      <c r="D33" s="5" t="s">
        <v>117</v>
      </c>
      <c r="E33" s="5" t="s">
        <v>118</v>
      </c>
      <c r="F33" s="5">
        <v>48</v>
      </c>
      <c r="G33" s="5">
        <v>55</v>
      </c>
      <c r="H33" s="30">
        <v>53</v>
      </c>
      <c r="I33" s="30">
        <v>50</v>
      </c>
    </row>
    <row r="34" spans="1:9" x14ac:dyDescent="0.35">
      <c r="A34" s="35"/>
      <c r="B34" s="34" t="s">
        <v>15</v>
      </c>
      <c r="C34" s="5" t="s">
        <v>64</v>
      </c>
      <c r="D34" s="5" t="s">
        <v>74</v>
      </c>
      <c r="E34" s="5" t="s">
        <v>119</v>
      </c>
      <c r="F34" s="5">
        <v>33</v>
      </c>
      <c r="G34" s="5">
        <v>38</v>
      </c>
      <c r="H34" s="30">
        <v>38</v>
      </c>
      <c r="I34" s="30">
        <v>37</v>
      </c>
    </row>
    <row r="35" spans="1:9" x14ac:dyDescent="0.35">
      <c r="A35" s="35"/>
      <c r="B35" s="35"/>
      <c r="C35" s="5" t="s">
        <v>120</v>
      </c>
      <c r="D35" s="5" t="s">
        <v>45</v>
      </c>
      <c r="E35" s="5" t="s">
        <v>121</v>
      </c>
      <c r="F35" s="5">
        <v>36</v>
      </c>
      <c r="G35" s="5">
        <v>40</v>
      </c>
      <c r="H35" s="30">
        <v>45</v>
      </c>
      <c r="I35" s="30">
        <v>43</v>
      </c>
    </row>
    <row r="36" spans="1:9" x14ac:dyDescent="0.35">
      <c r="A36" s="35"/>
      <c r="B36" s="35"/>
      <c r="C36" s="5" t="s">
        <v>122</v>
      </c>
      <c r="D36" s="5" t="s">
        <v>123</v>
      </c>
      <c r="E36" s="5" t="s">
        <v>124</v>
      </c>
      <c r="F36" s="5">
        <v>46</v>
      </c>
      <c r="G36" s="5">
        <v>27</v>
      </c>
      <c r="H36" s="30">
        <v>38</v>
      </c>
      <c r="I36" s="30">
        <v>35</v>
      </c>
    </row>
    <row r="37" spans="1:9" x14ac:dyDescent="0.35">
      <c r="A37" s="36"/>
      <c r="B37" s="36"/>
      <c r="C37" s="5" t="s">
        <v>125</v>
      </c>
      <c r="D37" s="5" t="s">
        <v>103</v>
      </c>
      <c r="E37" s="5" t="s">
        <v>126</v>
      </c>
      <c r="F37" s="5">
        <v>35</v>
      </c>
      <c r="G37" s="5">
        <v>40</v>
      </c>
      <c r="H37" s="30">
        <v>41</v>
      </c>
      <c r="I37" s="30">
        <v>47</v>
      </c>
    </row>
    <row r="38" spans="1:9" x14ac:dyDescent="0.35">
      <c r="A38" s="34" t="s">
        <v>16</v>
      </c>
      <c r="B38" s="34" t="s">
        <v>17</v>
      </c>
      <c r="C38" s="5" t="s">
        <v>127</v>
      </c>
      <c r="D38" s="5" t="s">
        <v>128</v>
      </c>
      <c r="E38" s="5" t="s">
        <v>129</v>
      </c>
      <c r="F38" s="5">
        <v>47</v>
      </c>
      <c r="G38" s="5">
        <v>55</v>
      </c>
      <c r="H38" s="30">
        <v>50</v>
      </c>
      <c r="I38" s="30">
        <v>63</v>
      </c>
    </row>
    <row r="39" spans="1:9" x14ac:dyDescent="0.35">
      <c r="A39" s="35"/>
      <c r="B39" s="35"/>
      <c r="C39" s="5" t="s">
        <v>130</v>
      </c>
      <c r="D39" s="5" t="s">
        <v>131</v>
      </c>
      <c r="E39" s="5" t="s">
        <v>132</v>
      </c>
      <c r="F39" s="5">
        <v>41</v>
      </c>
      <c r="G39" s="5">
        <v>53</v>
      </c>
      <c r="H39" s="30">
        <v>35</v>
      </c>
      <c r="I39" s="30">
        <v>65</v>
      </c>
    </row>
    <row r="40" spans="1:9" x14ac:dyDescent="0.35">
      <c r="A40" s="35"/>
      <c r="B40" s="35"/>
      <c r="C40" s="5" t="s">
        <v>130</v>
      </c>
      <c r="D40" s="5" t="s">
        <v>133</v>
      </c>
      <c r="E40" s="5" t="s">
        <v>134</v>
      </c>
      <c r="F40" s="5">
        <v>47</v>
      </c>
      <c r="G40" s="5">
        <v>59</v>
      </c>
      <c r="H40" s="30">
        <v>62</v>
      </c>
      <c r="I40" s="30">
        <v>66</v>
      </c>
    </row>
    <row r="41" spans="1:9" x14ac:dyDescent="0.35">
      <c r="A41" s="35"/>
      <c r="B41" s="36"/>
      <c r="C41" s="5" t="s">
        <v>135</v>
      </c>
      <c r="D41" s="5" t="s">
        <v>103</v>
      </c>
      <c r="E41" s="5" t="s">
        <v>136</v>
      </c>
      <c r="F41" s="5">
        <v>60</v>
      </c>
      <c r="G41" s="5">
        <v>69</v>
      </c>
      <c r="H41" s="30">
        <v>73</v>
      </c>
      <c r="I41" s="30">
        <v>72</v>
      </c>
    </row>
    <row r="42" spans="1:9" x14ac:dyDescent="0.35">
      <c r="A42" s="35"/>
      <c r="B42" s="34" t="s">
        <v>18</v>
      </c>
      <c r="C42" s="5" t="s">
        <v>137</v>
      </c>
      <c r="D42" s="5" t="s">
        <v>45</v>
      </c>
      <c r="E42" s="5" t="s">
        <v>138</v>
      </c>
      <c r="F42" s="5">
        <v>35</v>
      </c>
      <c r="G42" s="5">
        <v>55</v>
      </c>
      <c r="H42" s="30">
        <v>45</v>
      </c>
      <c r="I42" s="30">
        <v>60</v>
      </c>
    </row>
    <row r="43" spans="1:9" x14ac:dyDescent="0.35">
      <c r="A43" s="35"/>
      <c r="B43" s="35"/>
      <c r="C43" s="5" t="s">
        <v>93</v>
      </c>
      <c r="D43" s="5" t="s">
        <v>32</v>
      </c>
      <c r="E43" s="5" t="s">
        <v>139</v>
      </c>
      <c r="F43" s="5">
        <v>39</v>
      </c>
      <c r="G43" s="5">
        <v>44</v>
      </c>
      <c r="H43" s="30">
        <v>45</v>
      </c>
      <c r="I43" s="30">
        <v>73</v>
      </c>
    </row>
    <row r="44" spans="1:9" x14ac:dyDescent="0.35">
      <c r="A44" s="35"/>
      <c r="B44" s="35"/>
      <c r="C44" s="5" t="s">
        <v>140</v>
      </c>
      <c r="D44" s="5" t="s">
        <v>141</v>
      </c>
      <c r="E44" s="5" t="s">
        <v>142</v>
      </c>
      <c r="F44" s="5">
        <v>41</v>
      </c>
      <c r="G44" s="5">
        <v>55</v>
      </c>
      <c r="H44" s="30">
        <v>48</v>
      </c>
      <c r="I44" s="30">
        <v>74</v>
      </c>
    </row>
    <row r="45" spans="1:9" x14ac:dyDescent="0.35">
      <c r="A45" s="36"/>
      <c r="B45" s="36"/>
      <c r="C45" s="5" t="s">
        <v>143</v>
      </c>
      <c r="D45" s="5" t="s">
        <v>144</v>
      </c>
      <c r="E45" s="5" t="s">
        <v>145</v>
      </c>
      <c r="F45" s="5">
        <v>34</v>
      </c>
      <c r="G45" s="5">
        <v>33</v>
      </c>
      <c r="H45" s="30">
        <v>46</v>
      </c>
      <c r="I45" s="30">
        <v>64</v>
      </c>
    </row>
  </sheetData>
  <mergeCells count="17">
    <mergeCell ref="A14:A21"/>
    <mergeCell ref="B14:B17"/>
    <mergeCell ref="B18:B21"/>
    <mergeCell ref="A2:A5"/>
    <mergeCell ref="B2:B5"/>
    <mergeCell ref="A6:A13"/>
    <mergeCell ref="B6:B9"/>
    <mergeCell ref="B10:B13"/>
    <mergeCell ref="A38:A45"/>
    <mergeCell ref="B38:B41"/>
    <mergeCell ref="B42:B45"/>
    <mergeCell ref="A22:A29"/>
    <mergeCell ref="B22:B25"/>
    <mergeCell ref="B26:B29"/>
    <mergeCell ref="A30:A37"/>
    <mergeCell ref="B30:B33"/>
    <mergeCell ref="B34:B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Comissions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2025-10-06T12:03:37Z</dcterms:created>
  <dcterms:modified xsi:type="dcterms:W3CDTF">2025-10-08T15:51:47Z</dcterms:modified>
</cp:coreProperties>
</file>