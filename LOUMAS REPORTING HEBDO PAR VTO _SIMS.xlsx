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-110" yWindow="-110" windowWidth="19420" windowHeight="10420" activeTab="1"/>
  </bookViews>
  <sheets>
    <sheet name="Feuil2" sheetId="2" r:id="rId1"/>
    <sheet name="VTES VTO PAR SEM" sheetId="1" r:id="rId2"/>
    <sheet name="CUMUL VTE T3 LOUMA" sheetId="14" r:id="rId3"/>
    <sheet name="BILAN DU 24 mars au 30 AVRIL " sheetId="12" r:id="rId4"/>
    <sheet name="CUMUL VENTES PVT DU 24 mars avr" sheetId="13" r:id="rId5"/>
    <sheet name="Feuil1" sheetId="11" r:id="rId6"/>
    <sheet name="SYNT PAIEMENT CHAUF &amp; VTO FEVRI" sheetId="8" r:id="rId7"/>
    <sheet name="PAIEMENT VTO MARS SIMS ET OM" sheetId="4" r:id="rId8"/>
    <sheet name="SYNT PARTENAIRE LOUMA FEV" sheetId="3" r:id="rId9"/>
    <sheet name="SYNTHESE PARTENAIRE LOUMA MARS" sheetId="9" r:id="rId10"/>
    <sheet name="ND PARTENAIRE" sheetId="10" r:id="rId11"/>
    <sheet name="Feuil3" sheetId="15" r:id="rId12"/>
  </sheets>
  <definedNames>
    <definedName name="_xlnm._FilterDatabase" localSheetId="6" hidden="1">'SYNT PAIEMENT CHAUF &amp; VTO FEVRI'!$A$1:$V$32</definedName>
    <definedName name="_xlnm._FilterDatabase" localSheetId="8" hidden="1">'SYNT PARTENAIRE LOUMA FEV'!$A$2:$C$7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4" l="1"/>
  <c r="M27" i="14"/>
  <c r="I27" i="14"/>
  <c r="J27" i="14"/>
  <c r="K27" i="14"/>
  <c r="L27" i="14"/>
  <c r="H27" i="14"/>
  <c r="L26" i="12" l="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" i="12"/>
  <c r="D22" i="13"/>
  <c r="E22" i="13" s="1"/>
  <c r="H11" i="13"/>
  <c r="I11" i="13" s="1"/>
  <c r="I5" i="13"/>
  <c r="I6" i="13"/>
  <c r="I9" i="13"/>
  <c r="I8" i="13"/>
  <c r="I10" i="13"/>
  <c r="I7" i="13"/>
  <c r="E17" i="13"/>
  <c r="E18" i="13"/>
  <c r="E19" i="13"/>
  <c r="E20" i="13"/>
  <c r="E21" i="13"/>
  <c r="E16" i="13"/>
  <c r="G11" i="13"/>
  <c r="F11" i="13"/>
  <c r="E11" i="13"/>
  <c r="D11" i="13"/>
  <c r="C11" i="13"/>
  <c r="K26" i="12" l="1"/>
  <c r="J26" i="12"/>
  <c r="I26" i="12"/>
  <c r="H26" i="12"/>
  <c r="G26" i="12"/>
  <c r="F26" i="12"/>
  <c r="E26" i="12"/>
  <c r="D26" i="12"/>
  <c r="T27" i="1"/>
  <c r="S27" i="1"/>
  <c r="R27" i="1"/>
  <c r="Q27" i="1"/>
  <c r="P27" i="1"/>
  <c r="O27" i="1"/>
  <c r="N27" i="1"/>
  <c r="E8" i="9" l="1"/>
  <c r="E9" i="9"/>
  <c r="E3" i="9"/>
  <c r="D4" i="9"/>
  <c r="E4" i="9" s="1"/>
  <c r="D5" i="9"/>
  <c r="E5" i="9" s="1"/>
  <c r="D6" i="9"/>
  <c r="E6" i="9" s="1"/>
  <c r="D7" i="9"/>
  <c r="E7" i="9" s="1"/>
  <c r="D8" i="9"/>
  <c r="D9" i="9"/>
  <c r="D3" i="9"/>
  <c r="E8" i="3"/>
  <c r="E3" i="3"/>
  <c r="D4" i="3"/>
  <c r="E4" i="3" s="1"/>
  <c r="D5" i="3"/>
  <c r="E5" i="3" s="1"/>
  <c r="D6" i="3"/>
  <c r="E6" i="3" s="1"/>
  <c r="D7" i="3"/>
  <c r="E7" i="3" s="1"/>
  <c r="D8" i="3"/>
  <c r="D3" i="3"/>
  <c r="Y29" i="4"/>
  <c r="Y22" i="4" l="1"/>
  <c r="U33" i="8"/>
  <c r="T33" i="8"/>
  <c r="O31" i="8"/>
  <c r="Q31" i="8" s="1"/>
  <c r="I31" i="8"/>
  <c r="K31" i="8" s="1"/>
  <c r="O30" i="8"/>
  <c r="Q30" i="8" s="1"/>
  <c r="S30" i="8" s="1"/>
  <c r="I30" i="8"/>
  <c r="K30" i="8" s="1"/>
  <c r="O29" i="8"/>
  <c r="Q29" i="8" s="1"/>
  <c r="I29" i="8"/>
  <c r="K29" i="8" s="1"/>
  <c r="K32" i="8" s="1"/>
  <c r="O28" i="8"/>
  <c r="Q28" i="8" s="1"/>
  <c r="K28" i="8"/>
  <c r="I28" i="8"/>
  <c r="K27" i="8"/>
  <c r="O26" i="8"/>
  <c r="Q26" i="8" s="1"/>
  <c r="S26" i="8" s="1"/>
  <c r="K26" i="8"/>
  <c r="I26" i="8"/>
  <c r="O25" i="8"/>
  <c r="Q25" i="8" s="1"/>
  <c r="K25" i="8"/>
  <c r="I25" i="8"/>
  <c r="S24" i="8"/>
  <c r="Q24" i="8"/>
  <c r="O24" i="8"/>
  <c r="K24" i="8"/>
  <c r="I24" i="8"/>
  <c r="S23" i="8"/>
  <c r="Q23" i="8"/>
  <c r="O23" i="8"/>
  <c r="K23" i="8"/>
  <c r="I23" i="8"/>
  <c r="K22" i="8"/>
  <c r="Q21" i="8"/>
  <c r="S21" i="8" s="1"/>
  <c r="O21" i="8"/>
  <c r="K21" i="8"/>
  <c r="I21" i="8"/>
  <c r="Q20" i="8"/>
  <c r="S20" i="8" s="1"/>
  <c r="O20" i="8"/>
  <c r="K20" i="8"/>
  <c r="I20" i="8"/>
  <c r="Q19" i="8"/>
  <c r="S19" i="8" s="1"/>
  <c r="O19" i="8"/>
  <c r="K19" i="8"/>
  <c r="I19" i="8"/>
  <c r="S18" i="8"/>
  <c r="Q18" i="8"/>
  <c r="O18" i="8"/>
  <c r="K18" i="8"/>
  <c r="I18" i="8"/>
  <c r="Q17" i="8"/>
  <c r="S17" i="8" s="1"/>
  <c r="V17" i="8" s="1"/>
  <c r="K17" i="8"/>
  <c r="Q16" i="8"/>
  <c r="S16" i="8" s="1"/>
  <c r="O16" i="8"/>
  <c r="K16" i="8"/>
  <c r="I16" i="8"/>
  <c r="Q15" i="8"/>
  <c r="S15" i="8" s="1"/>
  <c r="O15" i="8"/>
  <c r="K15" i="8"/>
  <c r="I15" i="8"/>
  <c r="Q14" i="8"/>
  <c r="S14" i="8" s="1"/>
  <c r="O14" i="8"/>
  <c r="K14" i="8"/>
  <c r="I14" i="8"/>
  <c r="S13" i="8"/>
  <c r="Q13" i="8"/>
  <c r="O13" i="8"/>
  <c r="K13" i="8"/>
  <c r="I13" i="8"/>
  <c r="O11" i="8"/>
  <c r="Q11" i="8" s="1"/>
  <c r="I11" i="8"/>
  <c r="K11" i="8" s="1"/>
  <c r="O10" i="8"/>
  <c r="Q10" i="8" s="1"/>
  <c r="I10" i="8"/>
  <c r="K10" i="8" s="1"/>
  <c r="Q9" i="8"/>
  <c r="O9" i="8"/>
  <c r="I9" i="8"/>
  <c r="K9" i="8" s="1"/>
  <c r="O8" i="8"/>
  <c r="Q8" i="8" s="1"/>
  <c r="I8" i="8"/>
  <c r="K8" i="8" s="1"/>
  <c r="K7" i="8"/>
  <c r="Q6" i="8"/>
  <c r="O6" i="8"/>
  <c r="K6" i="8"/>
  <c r="S6" i="8" s="1"/>
  <c r="I6" i="8"/>
  <c r="Q5" i="8"/>
  <c r="Q7" i="8" s="1"/>
  <c r="S7" i="8" s="1"/>
  <c r="V7" i="8" s="1"/>
  <c r="O5" i="8"/>
  <c r="K5" i="8"/>
  <c r="I5" i="8"/>
  <c r="Q4" i="8"/>
  <c r="S4" i="8" s="1"/>
  <c r="O4" i="8"/>
  <c r="K4" i="8"/>
  <c r="I4" i="8"/>
  <c r="S3" i="8"/>
  <c r="Q3" i="8"/>
  <c r="O3" i="8"/>
  <c r="K3" i="8"/>
  <c r="I3" i="8"/>
  <c r="U31" i="4"/>
  <c r="W31" i="4" s="1"/>
  <c r="Y31" i="4" s="1"/>
  <c r="U30" i="4"/>
  <c r="W30" i="4" s="1"/>
  <c r="Y30" i="4" s="1"/>
  <c r="U29" i="4"/>
  <c r="W29" i="4" s="1"/>
  <c r="U28" i="4"/>
  <c r="W28" i="4" s="1"/>
  <c r="Y28" i="4" s="1"/>
  <c r="U26" i="4"/>
  <c r="W26" i="4" s="1"/>
  <c r="U25" i="4"/>
  <c r="W25" i="4" s="1"/>
  <c r="Y25" i="4" s="1"/>
  <c r="U24" i="4"/>
  <c r="W24" i="4" s="1"/>
  <c r="U23" i="4"/>
  <c r="W23" i="4" s="1"/>
  <c r="Y23" i="4" s="1"/>
  <c r="Y27" i="4" s="1"/>
  <c r="U21" i="4"/>
  <c r="W21" i="4" s="1"/>
  <c r="Y21" i="4" s="1"/>
  <c r="U20" i="4"/>
  <c r="W20" i="4" s="1"/>
  <c r="U19" i="4"/>
  <c r="W19" i="4" s="1"/>
  <c r="U18" i="4"/>
  <c r="W18" i="4" s="1"/>
  <c r="U16" i="4"/>
  <c r="W16" i="4" s="1"/>
  <c r="U15" i="4"/>
  <c r="W15" i="4" s="1"/>
  <c r="Y15" i="4" s="1"/>
  <c r="Y17" i="4" s="1"/>
  <c r="U14" i="4"/>
  <c r="W14" i="4" s="1"/>
  <c r="U13" i="4"/>
  <c r="W13" i="4" s="1"/>
  <c r="Y13" i="4" s="1"/>
  <c r="U11" i="4"/>
  <c r="W11" i="4" s="1"/>
  <c r="Y11" i="4" s="1"/>
  <c r="U10" i="4"/>
  <c r="W10" i="4" s="1"/>
  <c r="Y10" i="4" s="1"/>
  <c r="U9" i="4"/>
  <c r="W9" i="4" s="1"/>
  <c r="Y9" i="4" s="1"/>
  <c r="U8" i="4"/>
  <c r="W8" i="4" s="1"/>
  <c r="Y8" i="4" s="1"/>
  <c r="Y12" i="4" s="1"/>
  <c r="U6" i="4"/>
  <c r="W6" i="4" s="1"/>
  <c r="Y6" i="4" s="1"/>
  <c r="U5" i="4"/>
  <c r="W5" i="4" s="1"/>
  <c r="Y5" i="4" s="1"/>
  <c r="Y7" i="4" s="1"/>
  <c r="U4" i="4"/>
  <c r="W4" i="4" s="1"/>
  <c r="U3" i="4"/>
  <c r="W3" i="4" s="1"/>
  <c r="Y3" i="4" s="1"/>
  <c r="Y32" i="4" l="1"/>
  <c r="S29" i="8"/>
  <c r="S9" i="8"/>
  <c r="S25" i="8"/>
  <c r="Q27" i="8"/>
  <c r="S27" i="8" s="1"/>
  <c r="V27" i="8" s="1"/>
  <c r="S10" i="8"/>
  <c r="S31" i="8"/>
  <c r="S22" i="8"/>
  <c r="V22" i="8" s="1"/>
  <c r="K12" i="8"/>
  <c r="S12" i="8" s="1"/>
  <c r="V12" i="8" s="1"/>
  <c r="S11" i="8"/>
  <c r="S8" i="8"/>
  <c r="Q12" i="8"/>
  <c r="S28" i="8"/>
  <c r="Q32" i="8"/>
  <c r="S32" i="8" s="1"/>
  <c r="Q22" i="8"/>
  <c r="S5" i="8"/>
  <c r="O31" i="4"/>
  <c r="AA31" i="4" s="1"/>
  <c r="O30" i="4"/>
  <c r="AA30" i="4" s="1"/>
  <c r="O28" i="4"/>
  <c r="O25" i="4"/>
  <c r="AA25" i="4" s="1"/>
  <c r="O26" i="4"/>
  <c r="AA26" i="4" s="1"/>
  <c r="O24" i="4"/>
  <c r="AA24" i="4" s="1"/>
  <c r="O14" i="4"/>
  <c r="AA14" i="4" s="1"/>
  <c r="O15" i="4"/>
  <c r="AA15" i="4" s="1"/>
  <c r="O16" i="4"/>
  <c r="AA16" i="4" s="1"/>
  <c r="O13" i="4"/>
  <c r="K4" i="4"/>
  <c r="M4" i="4" s="1"/>
  <c r="O4" i="4" s="1"/>
  <c r="AA4" i="4" s="1"/>
  <c r="K5" i="4"/>
  <c r="M5" i="4" s="1"/>
  <c r="O5" i="4" s="1"/>
  <c r="AA5" i="4" s="1"/>
  <c r="K6" i="4"/>
  <c r="M6" i="4" s="1"/>
  <c r="O6" i="4" s="1"/>
  <c r="AA6" i="4" s="1"/>
  <c r="K8" i="4"/>
  <c r="M8" i="4" s="1"/>
  <c r="O8" i="4" s="1"/>
  <c r="K9" i="4"/>
  <c r="M9" i="4" s="1"/>
  <c r="O9" i="4" s="1"/>
  <c r="AA9" i="4" s="1"/>
  <c r="K10" i="4"/>
  <c r="M10" i="4" s="1"/>
  <c r="O10" i="4" s="1"/>
  <c r="AA10" i="4" s="1"/>
  <c r="K11" i="4"/>
  <c r="M11" i="4" s="1"/>
  <c r="O11" i="4" s="1"/>
  <c r="AA11" i="4" s="1"/>
  <c r="K13" i="4"/>
  <c r="M13" i="4" s="1"/>
  <c r="K14" i="4"/>
  <c r="M14" i="4" s="1"/>
  <c r="K15" i="4"/>
  <c r="M15" i="4" s="1"/>
  <c r="K16" i="4"/>
  <c r="M16" i="4" s="1"/>
  <c r="K18" i="4"/>
  <c r="M18" i="4" s="1"/>
  <c r="O18" i="4" s="1"/>
  <c r="K19" i="4"/>
  <c r="M19" i="4" s="1"/>
  <c r="O19" i="4" s="1"/>
  <c r="AA19" i="4" s="1"/>
  <c r="K20" i="4"/>
  <c r="M20" i="4" s="1"/>
  <c r="O20" i="4" s="1"/>
  <c r="AA20" i="4" s="1"/>
  <c r="K21" i="4"/>
  <c r="M21" i="4" s="1"/>
  <c r="O21" i="4" s="1"/>
  <c r="AA21" i="4" s="1"/>
  <c r="K23" i="4"/>
  <c r="M23" i="4" s="1"/>
  <c r="O23" i="4" s="1"/>
  <c r="K24" i="4"/>
  <c r="M24" i="4" s="1"/>
  <c r="K25" i="4"/>
  <c r="M25" i="4" s="1"/>
  <c r="K26" i="4"/>
  <c r="M26" i="4" s="1"/>
  <c r="K28" i="4"/>
  <c r="M28" i="4" s="1"/>
  <c r="K29" i="4"/>
  <c r="M29" i="4" s="1"/>
  <c r="O29" i="4" s="1"/>
  <c r="AA29" i="4" s="1"/>
  <c r="K30" i="4"/>
  <c r="M30" i="4" s="1"/>
  <c r="K31" i="4"/>
  <c r="M31" i="4" s="1"/>
  <c r="K3" i="4"/>
  <c r="M3" i="4" s="1"/>
  <c r="O3" i="4" s="1"/>
  <c r="L27" i="1"/>
  <c r="AA18" i="4" l="1"/>
  <c r="O22" i="4"/>
  <c r="AA22" i="4" s="1"/>
  <c r="AE22" i="4" s="1"/>
  <c r="AA8" i="4"/>
  <c r="O12" i="4"/>
  <c r="AA12" i="4" s="1"/>
  <c r="AE12" i="4" s="1"/>
  <c r="AA28" i="4"/>
  <c r="O32" i="4"/>
  <c r="AA32" i="4" s="1"/>
  <c r="AE32" i="4" s="1"/>
  <c r="AE33" i="4" s="1"/>
  <c r="AA3" i="4"/>
  <c r="O7" i="4"/>
  <c r="AA7" i="4" s="1"/>
  <c r="AE7" i="4" s="1"/>
  <c r="AA23" i="4"/>
  <c r="O27" i="4"/>
  <c r="AA27" i="4" s="1"/>
  <c r="AE27" i="4" s="1"/>
  <c r="AA13" i="4"/>
  <c r="O17" i="4"/>
  <c r="AA17" i="4" s="1"/>
  <c r="AE17" i="4" s="1"/>
  <c r="V32" i="8"/>
  <c r="V33" i="8" s="1"/>
  <c r="S33" i="8"/>
  <c r="H23" i="2" l="1"/>
  <c r="G23" i="2"/>
  <c r="F23" i="2"/>
  <c r="E23" i="2"/>
  <c r="I27" i="1"/>
  <c r="J27" i="1"/>
  <c r="K27" i="1"/>
  <c r="H27" i="1"/>
</calcChain>
</file>

<file path=xl/sharedStrings.xml><?xml version="1.0" encoding="utf-8"?>
<sst xmlns="http://schemas.openxmlformats.org/spreadsheetml/2006/main" count="754" uniqueCount="180">
  <si>
    <t>PVT</t>
  </si>
  <si>
    <t>PRENOM_VENDEUR</t>
  </si>
  <si>
    <t>NOM_VENDEUR</t>
  </si>
  <si>
    <t>LOGIN_VENDEUR</t>
  </si>
  <si>
    <t>KABBU</t>
  </si>
  <si>
    <t>SEM 1</t>
  </si>
  <si>
    <t>SEM2</t>
  </si>
  <si>
    <t>DR SUD</t>
  </si>
  <si>
    <t>PVT MOR WADE KOLDA</t>
  </si>
  <si>
    <t>FATOUMATA BINTA</t>
  </si>
  <si>
    <t>BA</t>
  </si>
  <si>
    <t>pvt_mwadk0290</t>
  </si>
  <si>
    <t>MOUHAMADOU KALIDOU</t>
  </si>
  <si>
    <t>SOW</t>
  </si>
  <si>
    <t>pvt_mwadk194</t>
  </si>
  <si>
    <t>HAMADOU</t>
  </si>
  <si>
    <t>MBALLO</t>
  </si>
  <si>
    <t>pvt_mwadk181</t>
  </si>
  <si>
    <t>BALDE</t>
  </si>
  <si>
    <t>pvt_mwadk236</t>
  </si>
  <si>
    <t>SUD EST</t>
  </si>
  <si>
    <t xml:space="preserve">PVT SEYDINA OUSMANE SY </t>
  </si>
  <si>
    <t>Abdoulaye</t>
  </si>
  <si>
    <t>DIALLO</t>
  </si>
  <si>
    <t>pvt_sosy134</t>
  </si>
  <si>
    <t> 771883753</t>
  </si>
  <si>
    <t>DIOR</t>
  </si>
  <si>
    <t>NDIAYE</t>
  </si>
  <si>
    <t>pvt_sosy0290</t>
  </si>
  <si>
    <t> 775801980</t>
  </si>
  <si>
    <t>ADAMA</t>
  </si>
  <si>
    <t>GUEYE</t>
  </si>
  <si>
    <t>pvt_sosy150</t>
  </si>
  <si>
    <t> 771883900</t>
  </si>
  <si>
    <t>KHADIDIATOU</t>
  </si>
  <si>
    <t>SOUARE</t>
  </si>
  <si>
    <t>pvt_sosy165</t>
  </si>
  <si>
    <t> 781596632</t>
  </si>
  <si>
    <t>DR EST</t>
  </si>
  <si>
    <t>PVT DEMBA FALL DE FATICK</t>
  </si>
  <si>
    <t>AMY</t>
  </si>
  <si>
    <t>SAMB</t>
  </si>
  <si>
    <t>pvt_dfallf0271</t>
  </si>
  <si>
    <t> 787567059</t>
  </si>
  <si>
    <t>Dabo</t>
  </si>
  <si>
    <t>pvt_dfallf0182</t>
  </si>
  <si>
    <t> 787655204</t>
  </si>
  <si>
    <t>AWA</t>
  </si>
  <si>
    <t>NDOUR</t>
  </si>
  <si>
    <t>pvt_dfallf0272</t>
  </si>
  <si>
    <t>IBRAHIMA</t>
  </si>
  <si>
    <t>pvt_dfallf0220</t>
  </si>
  <si>
    <t>DR NORD</t>
  </si>
  <si>
    <t>PVT MADINA BUSINESS PRO LINGUERE</t>
  </si>
  <si>
    <t>OUSSEYNOU</t>
  </si>
  <si>
    <t>MBAYE</t>
  </si>
  <si>
    <t>Pvt_mbpling114</t>
  </si>
  <si>
    <r>
      <t> </t>
    </r>
    <r>
      <rPr>
        <sz val="11"/>
        <color theme="1"/>
        <rFont val="Aptos Narrow"/>
        <family val="2"/>
      </rPr>
      <t>776003741</t>
    </r>
  </si>
  <si>
    <t>MASSOUDA DIENG</t>
  </si>
  <si>
    <t>FALL</t>
  </si>
  <si>
    <t>Pvt_mbpling0224</t>
  </si>
  <si>
    <r>
      <t> </t>
    </r>
    <r>
      <rPr>
        <sz val="11"/>
        <color theme="1"/>
        <rFont val="Aptos Narrow"/>
        <family val="2"/>
      </rPr>
      <t>787095631</t>
    </r>
  </si>
  <si>
    <t>ALIOUNE</t>
  </si>
  <si>
    <t>Pvt_mbpling0230</t>
  </si>
  <si>
    <r>
      <t> </t>
    </r>
    <r>
      <rPr>
        <sz val="11"/>
        <color theme="1"/>
        <rFont val="Aptos Narrow"/>
        <family val="2"/>
      </rPr>
      <t>787095625</t>
    </r>
  </si>
  <si>
    <t xml:space="preserve"> DEMBA SOUMARE </t>
  </si>
  <si>
    <t> DIOUF</t>
  </si>
  <si>
    <r>
      <t> </t>
    </r>
    <r>
      <rPr>
        <sz val="11"/>
        <color theme="1"/>
        <rFont val="Aptos Narrow"/>
        <family val="2"/>
      </rPr>
      <t>776006374</t>
    </r>
  </si>
  <si>
    <t>DR CENTRE</t>
  </si>
  <si>
    <t>SERIGNE MBACKE MADINA CISSE</t>
  </si>
  <si>
    <t>GAMOU</t>
  </si>
  <si>
    <t>pvt_smmc301</t>
  </si>
  <si>
    <t>MAYANE</t>
  </si>
  <si>
    <t>NDIM</t>
  </si>
  <si>
    <t>pvt_smmc2695</t>
  </si>
  <si>
    <t>ASSANE</t>
  </si>
  <si>
    <t>DIOP</t>
  </si>
  <si>
    <t>pvt_smmc303</t>
  </si>
  <si>
    <t>DABA</t>
  </si>
  <si>
    <t>BEYE</t>
  </si>
  <si>
    <t>pvt_smmc653</t>
  </si>
  <si>
    <t>DR2</t>
  </si>
  <si>
    <t>TEKNICOM CONSULTING GROUPE</t>
  </si>
  <si>
    <t>FATOU</t>
  </si>
  <si>
    <t>TAMBASSA</t>
  </si>
  <si>
    <t>pvt_tcg_0260</t>
  </si>
  <si>
    <t>SERIGNE FALLOU</t>
  </si>
  <si>
    <t>BITEYE</t>
  </si>
  <si>
    <t>pvt_tcg_0331</t>
  </si>
  <si>
    <t>AMDY</t>
  </si>
  <si>
    <t>pvt_tcg_0124</t>
  </si>
  <si>
    <t>SEM3</t>
  </si>
  <si>
    <t>Pvt_mbpling173</t>
  </si>
  <si>
    <t>MOUHAMETH</t>
  </si>
  <si>
    <t>FAYE</t>
  </si>
  <si>
    <t>pvt_tcg_0035</t>
  </si>
  <si>
    <t>SEM4</t>
  </si>
  <si>
    <t>SEM5</t>
  </si>
  <si>
    <t>MONTANT 1 SEM FEVRIER</t>
  </si>
  <si>
    <t>PAIEMENT 4 SEM MARS</t>
  </si>
  <si>
    <t>si 100% attinet objectif</t>
  </si>
  <si>
    <t>OBJECTIF S1</t>
  </si>
  <si>
    <t>TAUX D'atteinte</t>
  </si>
  <si>
    <t xml:space="preserve">TOTAL MARS </t>
  </si>
  <si>
    <t>SEM1</t>
  </si>
  <si>
    <t>SIM</t>
  </si>
  <si>
    <t>OM</t>
  </si>
  <si>
    <t>TOTAL (SIM+OM) à payer</t>
  </si>
  <si>
    <t>total général (SIM+ OM)</t>
  </si>
  <si>
    <t>OBJECTIF MARS</t>
  </si>
  <si>
    <t>TOTAL PVT MOR WADE</t>
  </si>
  <si>
    <t xml:space="preserve">TOTAL PVT SEYDINA OUSMANE SY </t>
  </si>
  <si>
    <t>TOTAL PVT DEMBA FALL</t>
  </si>
  <si>
    <t>TOTAL PVT MADINA BUSINESS PRO LINGUERE</t>
  </si>
  <si>
    <t>TOTAL SERIGNE MBACKE MADINA CISSE</t>
  </si>
  <si>
    <t>TOTAL TEKNICOM CONSULTING GROUPE</t>
  </si>
  <si>
    <t>DR SUD EST</t>
  </si>
  <si>
    <t>DRN</t>
  </si>
  <si>
    <t>DRC</t>
  </si>
  <si>
    <t>TOTAL GENERAL S 4 FEVRIER</t>
  </si>
  <si>
    <t>PAIEMENT CHAUFFEUR</t>
  </si>
  <si>
    <t>TOTAL GENERAL(SIM+ OM+CHAUFFEUR)</t>
  </si>
  <si>
    <t>DR</t>
  </si>
  <si>
    <t>TOTAL PAIEMENT CHAUFFEUR MARS</t>
  </si>
  <si>
    <t>TOTAL GENERAL (SIM+OM+CHAUFFEUR MARS)</t>
  </si>
  <si>
    <t>TOTAL GENERAL AVEC CHAUFFEUR</t>
  </si>
  <si>
    <t>TOTAL GENERAL AVEC CHAUFFEUR  MARS 2025</t>
  </si>
  <si>
    <t>TOTAL GENERAL AVEC CHAUFFEUR  S 4  FEVRIER 2025</t>
  </si>
  <si>
    <t>NUMERO OM PARTENAIRE</t>
  </si>
  <si>
    <t>si 100% atteint et objectif</t>
  </si>
  <si>
    <t>GAIN PVT</t>
  </si>
  <si>
    <t>SEM 1 FEVR</t>
  </si>
  <si>
    <t>SIMS</t>
  </si>
  <si>
    <t>TOTAL A PAYER</t>
  </si>
  <si>
    <t xml:space="preserve"> SEYDINA OUSMANE SY </t>
  </si>
  <si>
    <t xml:space="preserve"> MOR WADE</t>
  </si>
  <si>
    <t xml:space="preserve"> DEMBA FALL</t>
  </si>
  <si>
    <t xml:space="preserve"> MADINA BUSINESS PRO LINGUERE</t>
  </si>
  <si>
    <t>TOT AL GENERAL(SIM+ OM+CHAUFFEUR)</t>
  </si>
  <si>
    <t>SUD</t>
  </si>
  <si>
    <t>EST</t>
  </si>
  <si>
    <t xml:space="preserve"> SUD</t>
  </si>
  <si>
    <t>Taux d'atteinte</t>
  </si>
  <si>
    <t>PAIEMENT PVT LOUMAS FEVR 2025</t>
  </si>
  <si>
    <t>PAIEMENT PVT LOUMAS MARS 2025</t>
  </si>
  <si>
    <t>SEM6</t>
  </si>
  <si>
    <t>SEM7</t>
  </si>
  <si>
    <t>SEM8</t>
  </si>
  <si>
    <t>SEM9</t>
  </si>
  <si>
    <t>TOTAL</t>
  </si>
  <si>
    <t>DV-DR2</t>
  </si>
  <si>
    <t>DV-DRC</t>
  </si>
  <si>
    <t>DV-DRE</t>
  </si>
  <si>
    <t>DV-DRN</t>
  </si>
  <si>
    <t>DV-DRS</t>
  </si>
  <si>
    <t>DV-DRSE</t>
  </si>
  <si>
    <t>Total bilan2</t>
  </si>
  <si>
    <t>OBJEC</t>
  </si>
  <si>
    <t>REAL</t>
  </si>
  <si>
    <t>VS</t>
  </si>
  <si>
    <t>28 au 30 avr</t>
  </si>
  <si>
    <t>87% vs 80% bilan 1</t>
  </si>
  <si>
    <t>SEM11</t>
  </si>
  <si>
    <t xml:space="preserve">BAYE SALIOU </t>
  </si>
  <si>
    <t>DIAKHATE</t>
  </si>
  <si>
    <t>Pvt_mbpling009</t>
  </si>
  <si>
    <r>
      <t> </t>
    </r>
    <r>
      <rPr>
        <sz val="11"/>
        <color theme="1"/>
        <rFont val="Aptos Narrow"/>
        <family val="2"/>
      </rPr>
      <t>782974728</t>
    </r>
  </si>
  <si>
    <t>SEM12</t>
  </si>
  <si>
    <t>SEM13</t>
  </si>
  <si>
    <t>SEM14</t>
  </si>
  <si>
    <t>NORD</t>
  </si>
  <si>
    <t> 776003741</t>
  </si>
  <si>
    <t> 787095631</t>
  </si>
  <si>
    <t> 787095625</t>
  </si>
  <si>
    <t> Pvt_mbpling173</t>
  </si>
  <si>
    <t> 776006374</t>
  </si>
  <si>
    <t>CENTRE</t>
  </si>
  <si>
    <t>OUSMANE</t>
  </si>
  <si>
    <t xml:space="preserve">NDIAYE </t>
  </si>
  <si>
    <t>pvt_tcg_0078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</si>
</sst>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##0_-;\-* ###0_-;_-* &quot;-&quot;??_-;_-@_-"/>
  </numFmts>
  <fonts count="14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name val="Arial"/>
    </font>
    <font>
      <b/>
      <sz val="10"/>
      <color rgb="FF000000"/>
      <name val="Aptos Narrow"/>
    </font>
    <font>
      <sz val="10"/>
      <color rgb="FF000000"/>
      <name val="Aptos Narrow"/>
    </font>
    <font>
      <sz val="10"/>
      <color rgb="FF000000"/>
      <name val="Aptos"/>
    </font>
    <font>
      <sz val="10"/>
      <color rgb="FF000000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48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EB6"/>
        <bgColor indexed="64"/>
      </patternFill>
    </fill>
    <fill>
      <patternFill patternType="solid">
        <fgColor rgb="FFF3C6A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A98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4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9" fontId="0" fillId="3" borderId="1" xfId="2" applyFont="1" applyFill="1" applyBorder="1" applyAlignment="1">
      <alignment horizontal="center"/>
    </xf>
    <xf numFmtId="9" fontId="0" fillId="4" borderId="1" xfId="2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9" fontId="0" fillId="6" borderId="1" xfId="2" applyFont="1" applyFill="1" applyBorder="1" applyAlignment="1">
      <alignment horizontal="center"/>
    </xf>
    <xf numFmtId="0" fontId="0" fillId="8" borderId="0" xfId="0" applyFill="1"/>
    <xf numFmtId="0" fontId="0" fillId="9" borderId="1" xfId="0" applyFill="1" applyBorder="1" applyAlignment="1">
      <alignment horizontal="center"/>
    </xf>
    <xf numFmtId="9" fontId="0" fillId="7" borderId="1" xfId="2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  <xf numFmtId="164" fontId="0" fillId="8" borderId="0" xfId="1" applyNumberFormat="1" applyFont="1" applyFill="1"/>
    <xf numFmtId="164" fontId="0" fillId="11" borderId="0" xfId="1" applyNumberFormat="1" applyFont="1" applyFill="1"/>
    <xf numFmtId="164" fontId="0" fillId="4" borderId="1" xfId="1" applyNumberFormat="1" applyFont="1" applyFill="1" applyBorder="1" applyAlignment="1">
      <alignment horizontal="center"/>
    </xf>
    <xf numFmtId="164" fontId="0" fillId="10" borderId="1" xfId="1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7" xfId="0" applyFill="1" applyBorder="1" applyAlignment="1">
      <alignment horizontal="center" vertical="center" wrapText="1"/>
    </xf>
    <xf numFmtId="164" fontId="0" fillId="4" borderId="1" xfId="1" applyNumberFormat="1" applyFont="1" applyFill="1" applyBorder="1"/>
    <xf numFmtId="164" fontId="0" fillId="7" borderId="1" xfId="1" applyNumberFormat="1" applyFont="1" applyFill="1" applyBorder="1"/>
    <xf numFmtId="9" fontId="0" fillId="13" borderId="1" xfId="2" applyFont="1" applyFill="1" applyBorder="1" applyAlignment="1">
      <alignment horizontal="center"/>
    </xf>
    <xf numFmtId="9" fontId="0" fillId="14" borderId="1" xfId="2" applyFont="1" applyFill="1" applyBorder="1" applyAlignment="1">
      <alignment horizontal="center"/>
    </xf>
    <xf numFmtId="164" fontId="0" fillId="14" borderId="1" xfId="1" applyNumberFormat="1" applyFont="1" applyFill="1" applyBorder="1"/>
    <xf numFmtId="164" fontId="0" fillId="0" borderId="1" xfId="1" applyNumberFormat="1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9" fontId="0" fillId="4" borderId="2" xfId="2" applyFont="1" applyFill="1" applyBorder="1" applyAlignment="1">
      <alignment horizontal="center"/>
    </xf>
    <xf numFmtId="164" fontId="0" fillId="4" borderId="2" xfId="1" applyNumberFormat="1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15" borderId="1" xfId="0" applyFill="1" applyBorder="1"/>
    <xf numFmtId="0" fontId="0" fillId="15" borderId="1" xfId="0" applyFill="1" applyBorder="1" applyAlignment="1">
      <alignment vertical="center" wrapText="1"/>
    </xf>
    <xf numFmtId="0" fontId="0" fillId="15" borderId="1" xfId="0" applyFill="1" applyBorder="1" applyAlignment="1">
      <alignment horizontal="center"/>
    </xf>
    <xf numFmtId="0" fontId="0" fillId="15" borderId="9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 wrapText="1"/>
    </xf>
    <xf numFmtId="0" fontId="0" fillId="15" borderId="2" xfId="0" applyFill="1" applyBorder="1"/>
    <xf numFmtId="0" fontId="4" fillId="15" borderId="0" xfId="0" applyFont="1" applyFill="1" applyAlignment="1">
      <alignment horizontal="center" vertical="center"/>
    </xf>
    <xf numFmtId="9" fontId="0" fillId="15" borderId="1" xfId="2" applyFont="1" applyFill="1" applyBorder="1" applyAlignment="1">
      <alignment horizontal="center"/>
    </xf>
    <xf numFmtId="0" fontId="0" fillId="15" borderId="0" xfId="0" applyFill="1"/>
    <xf numFmtId="164" fontId="0" fillId="15" borderId="1" xfId="1" applyNumberFormat="1" applyFont="1" applyFill="1" applyBorder="1" applyAlignment="1">
      <alignment horizontal="center"/>
    </xf>
    <xf numFmtId="164" fontId="0" fillId="15" borderId="0" xfId="1" applyNumberFormat="1" applyFont="1" applyFill="1"/>
    <xf numFmtId="0" fontId="0" fillId="15" borderId="17" xfId="0" applyFill="1" applyBorder="1" applyAlignment="1">
      <alignment horizontal="center" vertical="center" wrapText="1"/>
    </xf>
    <xf numFmtId="0" fontId="3" fillId="15" borderId="0" xfId="0" applyFont="1" applyFill="1" applyAlignment="1">
      <alignment vertical="center"/>
    </xf>
    <xf numFmtId="0" fontId="2" fillId="15" borderId="20" xfId="0" applyFont="1" applyFill="1" applyBorder="1" applyAlignment="1">
      <alignment horizontal="center" vertical="center"/>
    </xf>
    <xf numFmtId="0" fontId="0" fillId="15" borderId="5" xfId="0" applyFill="1" applyBorder="1"/>
    <xf numFmtId="0" fontId="0" fillId="15" borderId="17" xfId="0" applyFill="1" applyBorder="1" applyAlignment="1">
      <alignment horizontal="center"/>
    </xf>
    <xf numFmtId="0" fontId="0" fillId="15" borderId="17" xfId="0" applyFill="1" applyBorder="1"/>
    <xf numFmtId="0" fontId="0" fillId="15" borderId="17" xfId="0" applyFill="1" applyBorder="1" applyAlignment="1">
      <alignment horizontal="center" vertical="center"/>
    </xf>
    <xf numFmtId="164" fontId="0" fillId="15" borderId="1" xfId="0" applyNumberFormat="1" applyFill="1" applyBorder="1"/>
    <xf numFmtId="164" fontId="0" fillId="0" borderId="0" xfId="0" applyNumberFormat="1"/>
    <xf numFmtId="0" fontId="0" fillId="8" borderId="0" xfId="0" applyFill="1" applyAlignment="1">
      <alignment vertical="center"/>
    </xf>
    <xf numFmtId="164" fontId="0" fillId="8" borderId="0" xfId="1" applyNumberFormat="1" applyFont="1" applyFill="1" applyAlignment="1">
      <alignment vertical="center"/>
    </xf>
    <xf numFmtId="0" fontId="0" fillId="12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15" borderId="1" xfId="1" applyNumberFormat="1" applyFont="1" applyFill="1" applyBorder="1"/>
    <xf numFmtId="164" fontId="0" fillId="0" borderId="0" xfId="1" applyNumberFormat="1" applyFont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164" fontId="0" fillId="16" borderId="1" xfId="0" applyNumberFormat="1" applyFill="1" applyBorder="1"/>
    <xf numFmtId="0" fontId="0" fillId="16" borderId="1" xfId="0" applyFill="1" applyBorder="1" applyAlignment="1">
      <alignment horizontal="center"/>
    </xf>
    <xf numFmtId="0" fontId="0" fillId="16" borderId="1" xfId="0" applyFill="1" applyBorder="1"/>
    <xf numFmtId="9" fontId="0" fillId="16" borderId="1" xfId="2" applyFont="1" applyFill="1" applyBorder="1" applyAlignment="1">
      <alignment horizontal="center"/>
    </xf>
    <xf numFmtId="164" fontId="0" fillId="16" borderId="1" xfId="1" applyNumberFormat="1" applyFont="1" applyFill="1" applyBorder="1"/>
    <xf numFmtId="0" fontId="6" fillId="16" borderId="1" xfId="0" applyFont="1" applyFill="1" applyBorder="1" applyAlignment="1">
      <alignment horizontal="center"/>
    </xf>
    <xf numFmtId="0" fontId="0" fillId="16" borderId="1" xfId="0" applyFill="1" applyBorder="1" applyAlignment="1">
      <alignment vertical="center" wrapText="1"/>
    </xf>
    <xf numFmtId="0" fontId="0" fillId="8" borderId="1" xfId="0" applyFill="1" applyBorder="1"/>
    <xf numFmtId="164" fontId="0" fillId="8" borderId="1" xfId="1" applyNumberFormat="1" applyFont="1" applyFill="1" applyBorder="1"/>
    <xf numFmtId="164" fontId="0" fillId="11" borderId="1" xfId="1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16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0" fillId="8" borderId="10" xfId="0" applyFill="1" applyBorder="1"/>
    <xf numFmtId="0" fontId="0" fillId="3" borderId="0" xfId="0" applyFill="1"/>
    <xf numFmtId="164" fontId="0" fillId="0" borderId="1" xfId="1" applyNumberFormat="1" applyFont="1" applyFill="1" applyBorder="1" applyAlignment="1">
      <alignment horizontal="center" vertical="center"/>
    </xf>
    <xf numFmtId="164" fontId="0" fillId="13" borderId="1" xfId="1" applyNumberFormat="1" applyFont="1" applyFill="1" applyBorder="1"/>
    <xf numFmtId="164" fontId="0" fillId="0" borderId="1" xfId="1" applyNumberFormat="1" applyFont="1" applyFill="1" applyBorder="1" applyAlignment="1">
      <alignment horizontal="center"/>
    </xf>
    <xf numFmtId="164" fontId="6" fillId="13" borderId="1" xfId="1" applyNumberFormat="1" applyFont="1" applyFill="1" applyBorder="1" applyAlignment="1">
      <alignment horizontal="center"/>
    </xf>
    <xf numFmtId="164" fontId="6" fillId="13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18" borderId="1" xfId="0" applyFill="1" applyBorder="1" applyAlignment="1">
      <alignment vertical="center"/>
    </xf>
    <xf numFmtId="0" fontId="0" fillId="18" borderId="1" xfId="0" applyFill="1" applyBorder="1" applyAlignment="1">
      <alignment horizontal="left" vertical="center" wrapText="1"/>
    </xf>
    <xf numFmtId="164" fontId="0" fillId="18" borderId="1" xfId="1" applyNumberFormat="1" applyFont="1" applyFill="1" applyBorder="1" applyAlignment="1">
      <alignment horizontal="center" vertical="center"/>
    </xf>
    <xf numFmtId="0" fontId="0" fillId="18" borderId="0" xfId="0" applyFill="1"/>
    <xf numFmtId="0" fontId="0" fillId="0" borderId="1" xfId="0" applyBorder="1" applyAlignment="1">
      <alignment horizontal="left" vertical="center"/>
    </xf>
    <xf numFmtId="0" fontId="0" fillId="18" borderId="1" xfId="0" applyFill="1" applyBorder="1" applyAlignment="1">
      <alignment horizontal="left" vertical="center"/>
    </xf>
    <xf numFmtId="164" fontId="0" fillId="18" borderId="1" xfId="1" applyNumberFormat="1" applyFont="1" applyFill="1" applyBorder="1" applyAlignment="1">
      <alignment horizontal="center"/>
    </xf>
    <xf numFmtId="0" fontId="0" fillId="8" borderId="10" xfId="0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16" borderId="1" xfId="0" applyFill="1" applyBorder="1" applyAlignment="1">
      <alignment vertical="center"/>
    </xf>
    <xf numFmtId="9" fontId="0" fillId="16" borderId="1" xfId="2" applyFont="1" applyFill="1" applyBorder="1" applyAlignment="1">
      <alignment vertical="center"/>
    </xf>
    <xf numFmtId="164" fontId="0" fillId="16" borderId="1" xfId="1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164" fontId="0" fillId="16" borderId="1" xfId="0" applyNumberFormat="1" applyFill="1" applyBorder="1" applyAlignment="1">
      <alignment horizontal="center" vertical="center"/>
    </xf>
    <xf numFmtId="164" fontId="0" fillId="16" borderId="1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8" borderId="1" xfId="1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12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18" borderId="1" xfId="0" applyFont="1" applyFill="1" applyBorder="1"/>
    <xf numFmtId="164" fontId="0" fillId="0" borderId="1" xfId="1" applyNumberFormat="1" applyFont="1" applyFill="1" applyBorder="1" applyAlignment="1">
      <alignment vertical="center" wrapText="1"/>
    </xf>
    <xf numFmtId="164" fontId="0" fillId="18" borderId="1" xfId="1" applyNumberFormat="1" applyFont="1" applyFill="1" applyBorder="1" applyAlignment="1">
      <alignment vertical="center" wrapText="1"/>
    </xf>
    <xf numFmtId="164" fontId="6" fillId="11" borderId="1" xfId="1" applyNumberFormat="1" applyFont="1" applyFill="1" applyBorder="1" applyAlignment="1">
      <alignment horizontal="center" vertical="center"/>
    </xf>
    <xf numFmtId="164" fontId="6" fillId="11" borderId="1" xfId="1" applyNumberFormat="1" applyFont="1" applyFill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5" xfId="0" applyFill="1" applyBorder="1"/>
    <xf numFmtId="0" fontId="6" fillId="0" borderId="10" xfId="0" applyFont="1" applyBorder="1" applyAlignment="1">
      <alignment horizontal="center" vertical="center"/>
    </xf>
    <xf numFmtId="0" fontId="6" fillId="0" borderId="0" xfId="0" applyFont="1"/>
    <xf numFmtId="0" fontId="0" fillId="19" borderId="1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6" fillId="0" borderId="10" xfId="0" applyFont="1" applyBorder="1" applyAlignment="1">
      <alignment horizontal="center"/>
    </xf>
    <xf numFmtId="16" fontId="6" fillId="0" borderId="1" xfId="0" applyNumberFormat="1" applyFont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9" fontId="0" fillId="20" borderId="1" xfId="2" applyFont="1" applyFill="1" applyBorder="1" applyAlignment="1">
      <alignment horizontal="center"/>
    </xf>
    <xf numFmtId="0" fontId="6" fillId="15" borderId="0" xfId="0" applyFont="1" applyFill="1"/>
    <xf numFmtId="9" fontId="0" fillId="5" borderId="1" xfId="2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6" fillId="2" borderId="1" xfId="2" applyFont="1" applyFill="1" applyBorder="1" applyAlignment="1">
      <alignment horizontal="center"/>
    </xf>
    <xf numFmtId="0" fontId="0" fillId="0" borderId="5" xfId="0" applyBorder="1"/>
    <xf numFmtId="16" fontId="0" fillId="0" borderId="0" xfId="0" applyNumberFormat="1"/>
    <xf numFmtId="0" fontId="0" fillId="5" borderId="0" xfId="0" applyFill="1"/>
    <xf numFmtId="16" fontId="0" fillId="0" borderId="1" xfId="0" applyNumberFormat="1" applyBorder="1"/>
    <xf numFmtId="0" fontId="0" fillId="0" borderId="1" xfId="0" applyFill="1" applyBorder="1"/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8" fillId="12" borderId="29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17" borderId="10" xfId="0" applyFont="1" applyFill="1" applyBorder="1" applyAlignment="1">
      <alignment horizontal="center"/>
    </xf>
    <xf numFmtId="0" fontId="6" fillId="17" borderId="30" xfId="0" applyFont="1" applyFill="1" applyBorder="1" applyAlignment="1">
      <alignment horizontal="center"/>
    </xf>
    <xf numFmtId="0" fontId="6" fillId="17" borderId="27" xfId="0" applyFont="1" applyFill="1" applyBorder="1" applyAlignment="1">
      <alignment horizontal="center"/>
    </xf>
    <xf numFmtId="0" fontId="9" fillId="0" borderId="31" xfId="0" applyFont="1" applyBorder="1" applyAlignment="1">
      <alignment wrapText="1"/>
    </xf>
    <xf numFmtId="0" fontId="10" fillId="21" borderId="32" xfId="0" applyFont="1" applyFill="1" applyBorder="1" applyAlignment="1">
      <alignment horizontal="center" wrapText="1" readingOrder="1"/>
    </xf>
    <xf numFmtId="0" fontId="10" fillId="21" borderId="33" xfId="0" applyFont="1" applyFill="1" applyBorder="1" applyAlignment="1">
      <alignment horizontal="center" wrapText="1" readingOrder="1"/>
    </xf>
    <xf numFmtId="0" fontId="10" fillId="21" borderId="34" xfId="0" applyFont="1" applyFill="1" applyBorder="1" applyAlignment="1">
      <alignment horizontal="center" wrapText="1" readingOrder="1"/>
    </xf>
    <xf numFmtId="0" fontId="11" fillId="0" borderId="41" xfId="0" applyFont="1" applyBorder="1" applyAlignment="1">
      <alignment horizontal="left" wrapText="1" readingOrder="1"/>
    </xf>
    <xf numFmtId="0" fontId="11" fillId="0" borderId="42" xfId="0" applyFont="1" applyBorder="1" applyAlignment="1">
      <alignment horizontal="center" wrapText="1" readingOrder="1"/>
    </xf>
    <xf numFmtId="0" fontId="11" fillId="0" borderId="43" xfId="0" applyFont="1" applyBorder="1" applyAlignment="1">
      <alignment horizontal="left" wrapText="1" readingOrder="1"/>
    </xf>
    <xf numFmtId="0" fontId="11" fillId="0" borderId="44" xfId="0" applyFont="1" applyBorder="1" applyAlignment="1">
      <alignment horizontal="center" wrapText="1" readingOrder="1"/>
    </xf>
    <xf numFmtId="0" fontId="11" fillId="0" borderId="45" xfId="0" applyFont="1" applyBorder="1" applyAlignment="1">
      <alignment horizontal="left" wrapText="1" readingOrder="1"/>
    </xf>
    <xf numFmtId="0" fontId="11" fillId="0" borderId="46" xfId="0" applyFont="1" applyBorder="1" applyAlignment="1">
      <alignment horizontal="center" wrapText="1" readingOrder="1"/>
    </xf>
    <xf numFmtId="0" fontId="11" fillId="0" borderId="42" xfId="0" applyFont="1" applyBorder="1" applyAlignment="1">
      <alignment horizontal="center" vertical="center" wrapText="1" readingOrder="1"/>
    </xf>
    <xf numFmtId="0" fontId="11" fillId="0" borderId="44" xfId="0" applyFont="1" applyBorder="1" applyAlignment="1">
      <alignment horizontal="center" vertical="center" wrapText="1" readingOrder="1"/>
    </xf>
    <xf numFmtId="0" fontId="11" fillId="0" borderId="46" xfId="0" applyFont="1" applyBorder="1" applyAlignment="1">
      <alignment horizontal="center" vertical="center" wrapText="1" readingOrder="1"/>
    </xf>
    <xf numFmtId="0" fontId="12" fillId="0" borderId="44" xfId="0" applyFont="1" applyBorder="1" applyAlignment="1">
      <alignment horizontal="center" vertical="center" wrapText="1" readingOrder="1"/>
    </xf>
    <xf numFmtId="0" fontId="11" fillId="0" borderId="47" xfId="0" applyFont="1" applyBorder="1" applyAlignment="1">
      <alignment horizontal="left" vertical="center" wrapText="1" readingOrder="1"/>
    </xf>
    <xf numFmtId="0" fontId="11" fillId="0" borderId="48" xfId="0" applyFont="1" applyBorder="1" applyAlignment="1">
      <alignment horizontal="left" vertical="center" wrapText="1" readingOrder="1"/>
    </xf>
    <xf numFmtId="0" fontId="11" fillId="0" borderId="48" xfId="0" applyFont="1" applyBorder="1" applyAlignment="1">
      <alignment horizontal="center" vertical="center" wrapText="1" readingOrder="1"/>
    </xf>
    <xf numFmtId="0" fontId="13" fillId="0" borderId="34" xfId="0" applyFont="1" applyBorder="1" applyAlignment="1">
      <alignment horizontal="center" vertical="center" wrapText="1" readingOrder="1"/>
    </xf>
    <xf numFmtId="0" fontId="10" fillId="0" borderId="35" xfId="0" applyFont="1" applyBorder="1" applyAlignment="1">
      <alignment horizontal="center" vertical="center" wrapText="1" readingOrder="1"/>
    </xf>
    <xf numFmtId="0" fontId="10" fillId="0" borderId="36" xfId="0" applyFont="1" applyBorder="1" applyAlignment="1">
      <alignment horizontal="center" vertical="center" wrapText="1" readingOrder="1"/>
    </xf>
    <xf numFmtId="0" fontId="10" fillId="0" borderId="37" xfId="0" applyFont="1" applyBorder="1" applyAlignment="1">
      <alignment horizontal="center" vertical="center" wrapText="1" readingOrder="1"/>
    </xf>
    <xf numFmtId="0" fontId="11" fillId="0" borderId="38" xfId="0" applyFont="1" applyBorder="1" applyAlignment="1">
      <alignment horizontal="center" vertical="center" wrapText="1" readingOrder="1"/>
    </xf>
    <xf numFmtId="0" fontId="11" fillId="0" borderId="39" xfId="0" applyFont="1" applyBorder="1" applyAlignment="1">
      <alignment horizontal="center" vertical="center" wrapText="1" readingOrder="1"/>
    </xf>
    <xf numFmtId="0" fontId="11" fillId="0" borderId="40" xfId="0" applyFont="1" applyBorder="1" applyAlignment="1">
      <alignment horizontal="center" vertical="center" wrapText="1" readingOrder="1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8CEB6"/>
      <color rgb="FFF3C6AF"/>
      <color rgb="FFFEFAF8"/>
      <color rgb="FFFFC4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Vtes par semaine</a:t>
            </a:r>
          </a:p>
        </c:rich>
      </c:tx>
      <c:layout/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'VTES VTO PAR SEM'!$H$27:$K$27</c:f>
              <c:numCache>
                <c:formatCode>General</c:formatCode>
                <c:ptCount val="4"/>
                <c:pt idx="0">
                  <c:v>796</c:v>
                </c:pt>
                <c:pt idx="1">
                  <c:v>962</c:v>
                </c:pt>
                <c:pt idx="2">
                  <c:v>921</c:v>
                </c:pt>
                <c:pt idx="3">
                  <c:v>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6-4256-A066-70DE79F9B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376863"/>
        <c:axId val="2138387423"/>
      </c:lineChart>
      <c:catAx>
        <c:axId val="2138376863"/>
        <c:scaling>
          <c:orientation val="minMax"/>
        </c:scaling>
        <c:delete val="1"/>
        <c:axPos val="b"/>
        <c:majorTickMark val="none"/>
        <c:minorTickMark val="none"/>
        <c:tickLblPos val="nextTo"/>
        <c:crossAx val="2138387423"/>
        <c:crosses val="autoZero"/>
        <c:auto val="1"/>
        <c:lblAlgn val="ctr"/>
        <c:lblOffset val="100"/>
        <c:noMultiLvlLbl val="0"/>
      </c:catAx>
      <c:valAx>
        <c:axId val="21383874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3837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Vtes par semaine</a:t>
            </a:r>
          </a:p>
        </c:rich>
      </c:tx>
      <c:layout/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'VTES VTO PAR SEM'!$H$27:$K$27</c:f>
              <c:numCache>
                <c:formatCode>General</c:formatCode>
                <c:ptCount val="4"/>
                <c:pt idx="0">
                  <c:v>796</c:v>
                </c:pt>
                <c:pt idx="1">
                  <c:v>962</c:v>
                </c:pt>
                <c:pt idx="2">
                  <c:v>921</c:v>
                </c:pt>
                <c:pt idx="3">
                  <c:v>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B-47EA-98F4-EE5997C76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376863"/>
        <c:axId val="2138387423"/>
      </c:lineChart>
      <c:catAx>
        <c:axId val="2138376863"/>
        <c:scaling>
          <c:orientation val="minMax"/>
        </c:scaling>
        <c:delete val="1"/>
        <c:axPos val="b"/>
        <c:majorTickMark val="none"/>
        <c:minorTickMark val="none"/>
        <c:tickLblPos val="nextTo"/>
        <c:crossAx val="2138387423"/>
        <c:crosses val="autoZero"/>
        <c:auto val="1"/>
        <c:lblAlgn val="ctr"/>
        <c:lblOffset val="100"/>
        <c:noMultiLvlLbl val="0"/>
      </c:catAx>
      <c:valAx>
        <c:axId val="21383874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3837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Vtes par semaine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'VTES VTO PAR SEM'!$H$27:$K$27</c:f>
              <c:numCache>
                <c:formatCode>General</c:formatCode>
                <c:ptCount val="4"/>
                <c:pt idx="0">
                  <c:v>796</c:v>
                </c:pt>
                <c:pt idx="1">
                  <c:v>962</c:v>
                </c:pt>
                <c:pt idx="2">
                  <c:v>921</c:v>
                </c:pt>
                <c:pt idx="3">
                  <c:v>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C-4329-ABF3-3D1993823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376863"/>
        <c:axId val="2138387423"/>
      </c:lineChart>
      <c:catAx>
        <c:axId val="2138376863"/>
        <c:scaling>
          <c:orientation val="minMax"/>
        </c:scaling>
        <c:delete val="1"/>
        <c:axPos val="b"/>
        <c:majorTickMark val="none"/>
        <c:minorTickMark val="none"/>
        <c:tickLblPos val="nextTo"/>
        <c:crossAx val="2138387423"/>
        <c:crosses val="autoZero"/>
        <c:auto val="1"/>
        <c:lblAlgn val="ctr"/>
        <c:lblOffset val="100"/>
        <c:noMultiLvlLbl val="0"/>
      </c:catAx>
      <c:valAx>
        <c:axId val="21383874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3837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127000</xdr:colOff>
      <xdr:row>24</xdr:row>
      <xdr:rowOff>127000</xdr:rowOff>
    </xdr:from>
    <xdr:to>
      <xdr:col>4</xdr:col>
      <xdr:colOff>0</xdr:colOff>
      <xdr:row>33</xdr:row>
      <xdr:rowOff>88900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E002037-AC0A-4FEE-B529-BC00EF427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1549400</xdr:colOff>
      <xdr:row>27</xdr:row>
      <xdr:rowOff>158750</xdr:rowOff>
    </xdr:from>
    <xdr:to>
      <xdr:col>6</xdr:col>
      <xdr:colOff>1057275</xdr:colOff>
      <xdr:row>37</xdr:row>
      <xdr:rowOff>88900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7775696-42B5-7864-86A6-0058B2C5B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1549400</xdr:colOff>
      <xdr:row>27</xdr:row>
      <xdr:rowOff>158750</xdr:rowOff>
    </xdr:from>
    <xdr:to>
      <xdr:col>6</xdr:col>
      <xdr:colOff>1057275</xdr:colOff>
      <xdr:row>37</xdr:row>
      <xdr:rowOff>88900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87C967C-C369-4F93-B131-A500BFD04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Views>
    <sheetView workbookViewId="0">
      <selection activeCell="I2" sqref="I2:I27"/>
    </sheetView>
  </sheetViews>
  <sheetFormatPr baseColWidth="10" defaultRowHeight="14"/>
  <cols>
    <col min="2" max="2" width="9.6640625" customWidth="1"/>
    <col min="3" max="3" width="22.4140625" customWidth="1"/>
    <col min="5" max="5" width="5.6640625" style="25" bestFit="1" customWidth="1"/>
    <col min="6" max="8" width="5.25" style="25" bestFit="1" customWidth="1"/>
  </cols>
  <sheetData>
    <row r="2" spans="2:8" ht="14.5" thickBot="1">
      <c r="C2" s="2" t="s">
        <v>1</v>
      </c>
      <c r="D2" s="2" t="s">
        <v>2</v>
      </c>
      <c r="E2" s="26" t="s">
        <v>5</v>
      </c>
      <c r="F2" s="26" t="s">
        <v>6</v>
      </c>
      <c r="G2" s="26" t="s">
        <v>91</v>
      </c>
      <c r="H2" s="26" t="s">
        <v>96</v>
      </c>
    </row>
    <row r="3" spans="2:8">
      <c r="B3" s="186" t="s">
        <v>7</v>
      </c>
      <c r="C3" s="5" t="s">
        <v>9</v>
      </c>
      <c r="D3" s="6" t="s">
        <v>10</v>
      </c>
      <c r="E3" s="26">
        <v>33</v>
      </c>
      <c r="F3" s="26">
        <v>41</v>
      </c>
      <c r="G3" s="26">
        <v>31</v>
      </c>
      <c r="H3" s="26">
        <v>42</v>
      </c>
    </row>
    <row r="4" spans="2:8">
      <c r="B4" s="187"/>
      <c r="C4" s="1" t="s">
        <v>12</v>
      </c>
      <c r="D4" s="1" t="s">
        <v>13</v>
      </c>
      <c r="E4" s="26">
        <v>31</v>
      </c>
      <c r="F4" s="26">
        <v>35</v>
      </c>
      <c r="G4" s="26">
        <v>33</v>
      </c>
      <c r="H4" s="26">
        <v>42</v>
      </c>
    </row>
    <row r="5" spans="2:8">
      <c r="B5" s="187"/>
      <c r="C5" s="1" t="s">
        <v>15</v>
      </c>
      <c r="D5" s="1" t="s">
        <v>16</v>
      </c>
      <c r="E5" s="26">
        <v>42</v>
      </c>
      <c r="F5" s="26">
        <v>40</v>
      </c>
      <c r="G5" s="26">
        <v>34</v>
      </c>
      <c r="H5" s="26">
        <v>32</v>
      </c>
    </row>
    <row r="6" spans="2:8" ht="14.5" thickBot="1">
      <c r="B6" s="188"/>
      <c r="C6" s="11" t="s">
        <v>15</v>
      </c>
      <c r="D6" s="11" t="s">
        <v>18</v>
      </c>
      <c r="E6" s="26">
        <v>32</v>
      </c>
      <c r="F6" s="26">
        <v>44</v>
      </c>
      <c r="G6" s="26">
        <v>39</v>
      </c>
      <c r="H6" s="26">
        <v>42</v>
      </c>
    </row>
    <row r="7" spans="2:8">
      <c r="B7" s="180" t="s">
        <v>20</v>
      </c>
      <c r="C7" s="5" t="s">
        <v>22</v>
      </c>
      <c r="D7" s="5" t="s">
        <v>23</v>
      </c>
      <c r="E7" s="26">
        <v>10</v>
      </c>
      <c r="F7" s="26">
        <v>44</v>
      </c>
      <c r="G7" s="26">
        <v>39</v>
      </c>
      <c r="H7" s="26">
        <v>44</v>
      </c>
    </row>
    <row r="8" spans="2:8">
      <c r="B8" s="181"/>
      <c r="C8" s="1" t="s">
        <v>26</v>
      </c>
      <c r="D8" s="1" t="s">
        <v>27</v>
      </c>
      <c r="E8" s="26">
        <v>15</v>
      </c>
      <c r="F8" s="26">
        <v>43</v>
      </c>
      <c r="G8" s="26">
        <v>41</v>
      </c>
      <c r="H8" s="26">
        <v>41</v>
      </c>
    </row>
    <row r="9" spans="2:8">
      <c r="B9" s="181"/>
      <c r="C9" s="1" t="s">
        <v>30</v>
      </c>
      <c r="D9" s="1" t="s">
        <v>31</v>
      </c>
      <c r="E9" s="26">
        <v>12</v>
      </c>
      <c r="F9" s="26">
        <v>39</v>
      </c>
      <c r="G9" s="26">
        <v>36</v>
      </c>
      <c r="H9" s="26">
        <v>39</v>
      </c>
    </row>
    <row r="10" spans="2:8" ht="14.5" thickBot="1">
      <c r="B10" s="182"/>
      <c r="C10" s="11" t="s">
        <v>34</v>
      </c>
      <c r="D10" s="11" t="s">
        <v>35</v>
      </c>
      <c r="E10" s="26">
        <v>18</v>
      </c>
      <c r="F10" s="26">
        <v>37</v>
      </c>
      <c r="G10" s="26">
        <v>29</v>
      </c>
      <c r="H10" s="26">
        <v>40</v>
      </c>
    </row>
    <row r="11" spans="2:8">
      <c r="B11" s="180" t="s">
        <v>38</v>
      </c>
      <c r="C11" s="5" t="s">
        <v>40</v>
      </c>
      <c r="D11" s="5" t="s">
        <v>41</v>
      </c>
      <c r="E11" s="26">
        <v>42</v>
      </c>
      <c r="F11" s="26">
        <v>65</v>
      </c>
      <c r="G11" s="26">
        <v>63</v>
      </c>
      <c r="H11" s="26">
        <v>63</v>
      </c>
    </row>
    <row r="12" spans="2:8">
      <c r="B12" s="181"/>
      <c r="C12" s="1" t="s">
        <v>22</v>
      </c>
      <c r="D12" s="1" t="s">
        <v>44</v>
      </c>
      <c r="E12" s="26">
        <v>58</v>
      </c>
      <c r="F12" s="26">
        <v>71</v>
      </c>
      <c r="G12" s="26">
        <v>69</v>
      </c>
      <c r="H12" s="26">
        <v>73</v>
      </c>
    </row>
    <row r="13" spans="2:8">
      <c r="B13" s="181"/>
      <c r="C13" s="1" t="s">
        <v>47</v>
      </c>
      <c r="D13" s="1" t="s">
        <v>48</v>
      </c>
      <c r="E13" s="26">
        <v>44</v>
      </c>
      <c r="F13" s="26">
        <v>63</v>
      </c>
      <c r="G13" s="26">
        <v>79</v>
      </c>
      <c r="H13" s="26">
        <v>73</v>
      </c>
    </row>
    <row r="14" spans="2:8" ht="14.5" thickBot="1">
      <c r="B14" s="182"/>
      <c r="C14" s="11" t="s">
        <v>50</v>
      </c>
      <c r="D14" s="11" t="s">
        <v>23</v>
      </c>
      <c r="E14" s="26">
        <v>41</v>
      </c>
      <c r="F14" s="26">
        <v>79</v>
      </c>
      <c r="G14" s="26">
        <v>75</v>
      </c>
      <c r="H14" s="26">
        <v>68</v>
      </c>
    </row>
    <row r="15" spans="2:8">
      <c r="B15" s="180" t="s">
        <v>52</v>
      </c>
      <c r="C15" s="5" t="s">
        <v>54</v>
      </c>
      <c r="D15" s="5" t="s">
        <v>55</v>
      </c>
      <c r="E15" s="26">
        <v>50</v>
      </c>
      <c r="F15" s="26">
        <v>32</v>
      </c>
      <c r="G15" s="26">
        <v>24</v>
      </c>
      <c r="H15" s="26">
        <v>77</v>
      </c>
    </row>
    <row r="16" spans="2:8">
      <c r="B16" s="181"/>
      <c r="C16" s="1" t="s">
        <v>58</v>
      </c>
      <c r="D16" s="1" t="s">
        <v>59</v>
      </c>
      <c r="E16" s="26">
        <v>34</v>
      </c>
      <c r="F16" s="26">
        <v>21</v>
      </c>
      <c r="G16" s="26">
        <v>12</v>
      </c>
      <c r="H16" s="26">
        <v>27</v>
      </c>
    </row>
    <row r="17" spans="2:8">
      <c r="B17" s="181"/>
      <c r="C17" s="1" t="s">
        <v>62</v>
      </c>
      <c r="D17" s="1" t="s">
        <v>23</v>
      </c>
      <c r="E17" s="26">
        <v>58</v>
      </c>
      <c r="F17" s="26">
        <v>28</v>
      </c>
      <c r="G17" s="26">
        <v>21</v>
      </c>
      <c r="H17" s="26">
        <v>45</v>
      </c>
    </row>
    <row r="18" spans="2:8" ht="14.5" thickBot="1">
      <c r="B18" s="182"/>
      <c r="C18" s="20" t="s">
        <v>65</v>
      </c>
      <c r="D18" s="20" t="s">
        <v>66</v>
      </c>
      <c r="E18" s="26">
        <v>58</v>
      </c>
      <c r="F18" s="26">
        <v>46</v>
      </c>
      <c r="G18" s="26">
        <v>18</v>
      </c>
      <c r="H18" s="26">
        <v>84</v>
      </c>
    </row>
    <row r="19" spans="2:8">
      <c r="B19" s="183" t="s">
        <v>68</v>
      </c>
      <c r="C19" s="28" t="s">
        <v>70</v>
      </c>
      <c r="D19" s="5" t="s">
        <v>27</v>
      </c>
      <c r="E19" s="26">
        <v>55</v>
      </c>
      <c r="F19" s="26">
        <v>54</v>
      </c>
      <c r="G19" s="26">
        <v>58</v>
      </c>
      <c r="H19" s="26">
        <v>0</v>
      </c>
    </row>
    <row r="20" spans="2:8">
      <c r="B20" s="184"/>
      <c r="C20" s="29" t="s">
        <v>72</v>
      </c>
      <c r="D20" s="1" t="s">
        <v>73</v>
      </c>
      <c r="E20" s="26">
        <v>62</v>
      </c>
      <c r="F20" s="26">
        <v>57</v>
      </c>
      <c r="G20" s="26">
        <v>64</v>
      </c>
      <c r="H20" s="26">
        <v>83</v>
      </c>
    </row>
    <row r="21" spans="2:8">
      <c r="B21" s="184"/>
      <c r="C21" s="30" t="s">
        <v>75</v>
      </c>
      <c r="D21" s="2" t="s">
        <v>76</v>
      </c>
      <c r="E21" s="26">
        <v>46</v>
      </c>
      <c r="F21" s="26">
        <v>57</v>
      </c>
      <c r="G21" s="26">
        <v>66</v>
      </c>
      <c r="H21" s="26">
        <v>86</v>
      </c>
    </row>
    <row r="22" spans="2:8" ht="14.5" thickBot="1">
      <c r="B22" s="185"/>
      <c r="C22" s="29" t="s">
        <v>78</v>
      </c>
      <c r="D22" s="1" t="s">
        <v>79</v>
      </c>
      <c r="E22" s="26">
        <v>55</v>
      </c>
      <c r="F22" s="26">
        <v>66</v>
      </c>
      <c r="G22" s="26">
        <v>90</v>
      </c>
      <c r="H22" s="26">
        <v>118</v>
      </c>
    </row>
    <row r="23" spans="2:8">
      <c r="E23" s="27">
        <f>SUM(E3:E22)</f>
        <v>796</v>
      </c>
      <c r="F23" s="27">
        <f>SUM(F3:F22)</f>
        <v>962</v>
      </c>
      <c r="G23" s="27">
        <f>SUM(G3:G22)</f>
        <v>921</v>
      </c>
      <c r="H23" s="27">
        <f>SUM(H3:H22)</f>
        <v>1119</v>
      </c>
    </row>
  </sheetData>
  <mergeCells count="5">
    <mergeCell ref="B15:B18"/>
    <mergeCell ref="B19:B22"/>
    <mergeCell ref="B3:B6"/>
    <mergeCell ref="B7:B10"/>
    <mergeCell ref="B11:B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8"/>
  <sheetViews>
    <sheetView tabSelected="1" topLeftCell="B1" workbookViewId="0">
      <selection activeCell="E14" sqref="E14"/>
    </sheetView>
  </sheetViews>
  <sheetFormatPr baseColWidth="10" defaultRowHeight="14"/>
  <cols>
    <col min="4" max="4" width="22.4140625" customWidth="1"/>
    <col min="6" max="6" width="15.5" customWidth="1"/>
    <col min="7" max="7" width="11.5" style="25" customWidth="1"/>
    <col min="8" max="8" width="12.75" style="25" customWidth="1"/>
    <col min="9" max="11" width="5.25" style="25" customWidth="1"/>
    <col min="12" max="13" width="6.08203125" customWidth="1"/>
    <col min="14" max="14" width="10.9140625" style="160" customWidth="1"/>
    <col min="15" max="17" width="10.9140625" customWidth="1"/>
    <col min="18" max="18" width="16.1640625" customWidth="1"/>
    <col min="21" max="21" width="10.9140625" style="177"/>
  </cols>
  <sheetData>
    <row r="2" spans="2:26" ht="14.5" thickBot="1">
      <c r="C2" s="1" t="s">
        <v>0</v>
      </c>
      <c r="D2" s="2" t="s">
        <v>1</v>
      </c>
      <c r="E2" s="2" t="s">
        <v>2</v>
      </c>
      <c r="F2" s="3" t="s">
        <v>3</v>
      </c>
      <c r="G2" s="4" t="s">
        <v>4</v>
      </c>
      <c r="H2" s="26" t="s">
        <v>131</v>
      </c>
      <c r="I2" s="26" t="s">
        <v>6</v>
      </c>
      <c r="J2" s="26" t="s">
        <v>91</v>
      </c>
      <c r="K2" s="26" t="s">
        <v>96</v>
      </c>
      <c r="L2" s="26" t="s">
        <v>97</v>
      </c>
      <c r="M2" s="161"/>
      <c r="N2" s="163" t="s">
        <v>145</v>
      </c>
      <c r="O2" s="135" t="s">
        <v>146</v>
      </c>
      <c r="P2" s="135" t="s">
        <v>147</v>
      </c>
      <c r="Q2" s="163" t="s">
        <v>148</v>
      </c>
      <c r="R2" s="168">
        <v>45775</v>
      </c>
      <c r="S2" s="168">
        <v>45776</v>
      </c>
      <c r="T2" s="168">
        <v>45777</v>
      </c>
      <c r="V2" s="178">
        <v>45778</v>
      </c>
      <c r="W2" s="178">
        <v>45779</v>
      </c>
      <c r="X2" s="178">
        <v>45780</v>
      </c>
      <c r="Y2" s="178">
        <v>45781</v>
      </c>
      <c r="Z2" s="1" t="s">
        <v>162</v>
      </c>
    </row>
    <row r="3" spans="2:26">
      <c r="B3" s="186" t="s">
        <v>7</v>
      </c>
      <c r="C3" s="189" t="s">
        <v>8</v>
      </c>
      <c r="D3" s="5" t="s">
        <v>9</v>
      </c>
      <c r="E3" s="6" t="s">
        <v>10</v>
      </c>
      <c r="F3" s="7" t="s">
        <v>11</v>
      </c>
      <c r="G3" s="8">
        <v>775810336</v>
      </c>
      <c r="H3" s="26">
        <v>33</v>
      </c>
      <c r="I3" s="26">
        <v>41</v>
      </c>
      <c r="J3" s="26">
        <v>31</v>
      </c>
      <c r="K3" s="26">
        <v>42</v>
      </c>
      <c r="L3" s="1">
        <v>54</v>
      </c>
      <c r="M3" s="100"/>
      <c r="N3" s="15">
        <v>33</v>
      </c>
      <c r="O3" s="26">
        <v>69</v>
      </c>
      <c r="P3" s="26">
        <v>40</v>
      </c>
      <c r="Q3" s="10">
        <v>58</v>
      </c>
      <c r="R3" s="26">
        <v>11</v>
      </c>
      <c r="S3" s="1">
        <v>10</v>
      </c>
      <c r="T3" s="26">
        <v>10</v>
      </c>
      <c r="V3" s="1"/>
      <c r="W3" s="1"/>
      <c r="X3" s="1"/>
      <c r="Y3" s="1"/>
      <c r="Z3" s="1"/>
    </row>
    <row r="4" spans="2:26">
      <c r="B4" s="187"/>
      <c r="C4" s="189"/>
      <c r="D4" s="1" t="s">
        <v>12</v>
      </c>
      <c r="E4" s="1" t="s">
        <v>13</v>
      </c>
      <c r="F4" s="9" t="s">
        <v>14</v>
      </c>
      <c r="G4" s="10">
        <v>772107591</v>
      </c>
      <c r="H4" s="26">
        <v>31</v>
      </c>
      <c r="I4" s="26">
        <v>35</v>
      </c>
      <c r="J4" s="26">
        <v>33</v>
      </c>
      <c r="K4" s="26">
        <v>42</v>
      </c>
      <c r="L4" s="1">
        <v>55</v>
      </c>
      <c r="M4" s="100"/>
      <c r="N4" s="15">
        <v>37</v>
      </c>
      <c r="O4" s="26">
        <v>69</v>
      </c>
      <c r="P4" s="26">
        <v>44</v>
      </c>
      <c r="Q4" s="25">
        <v>60</v>
      </c>
      <c r="R4" s="26">
        <v>11</v>
      </c>
      <c r="S4" s="1">
        <v>14</v>
      </c>
      <c r="T4" s="26">
        <v>10</v>
      </c>
      <c r="V4" s="1"/>
      <c r="W4" s="1"/>
      <c r="X4" s="1"/>
      <c r="Y4" s="1"/>
      <c r="Z4" s="1"/>
    </row>
    <row r="5" spans="2:26">
      <c r="B5" s="187"/>
      <c r="C5" s="189"/>
      <c r="D5" s="1" t="s">
        <v>15</v>
      </c>
      <c r="E5" s="1" t="s">
        <v>16</v>
      </c>
      <c r="F5" s="9" t="s">
        <v>17</v>
      </c>
      <c r="G5" s="10">
        <v>772104981</v>
      </c>
      <c r="H5" s="26">
        <v>42</v>
      </c>
      <c r="I5" s="26">
        <v>40</v>
      </c>
      <c r="J5" s="26">
        <v>34</v>
      </c>
      <c r="K5" s="26">
        <v>32</v>
      </c>
      <c r="L5" s="1">
        <v>58</v>
      </c>
      <c r="M5" s="100"/>
      <c r="N5" s="15">
        <v>31</v>
      </c>
      <c r="O5" s="26">
        <v>57</v>
      </c>
      <c r="P5" s="26">
        <v>44</v>
      </c>
      <c r="Q5" s="10">
        <v>79</v>
      </c>
      <c r="R5" s="26">
        <v>13</v>
      </c>
      <c r="S5" s="1">
        <v>12</v>
      </c>
      <c r="T5" s="26">
        <v>11</v>
      </c>
      <c r="V5" s="1"/>
      <c r="W5" s="1"/>
      <c r="X5" s="1"/>
      <c r="Y5" s="1"/>
      <c r="Z5" s="1"/>
    </row>
    <row r="6" spans="2:26" ht="14.5" thickBot="1">
      <c r="B6" s="188"/>
      <c r="C6" s="190"/>
      <c r="D6" s="11" t="s">
        <v>15</v>
      </c>
      <c r="E6" s="11" t="s">
        <v>18</v>
      </c>
      <c r="F6" s="12" t="s">
        <v>19</v>
      </c>
      <c r="G6" s="13">
        <v>778525987</v>
      </c>
      <c r="H6" s="26">
        <v>32</v>
      </c>
      <c r="I6" s="26">
        <v>44</v>
      </c>
      <c r="J6" s="26">
        <v>39</v>
      </c>
      <c r="K6" s="26">
        <v>42</v>
      </c>
      <c r="L6" s="1">
        <v>44</v>
      </c>
      <c r="M6" s="100"/>
      <c r="N6" s="15">
        <v>36</v>
      </c>
      <c r="O6" s="26">
        <v>74</v>
      </c>
      <c r="P6" s="26">
        <v>43</v>
      </c>
      <c r="Q6" s="10">
        <v>62</v>
      </c>
      <c r="R6" s="26">
        <v>11</v>
      </c>
      <c r="S6" s="1">
        <v>11</v>
      </c>
      <c r="T6" s="26">
        <v>11</v>
      </c>
      <c r="V6" s="1"/>
      <c r="W6" s="1"/>
      <c r="X6" s="1"/>
      <c r="Y6" s="1"/>
      <c r="Z6" s="1"/>
    </row>
    <row r="7" spans="2:26">
      <c r="B7" s="180" t="s">
        <v>20</v>
      </c>
      <c r="C7" s="191" t="s">
        <v>21</v>
      </c>
      <c r="D7" s="5" t="s">
        <v>22</v>
      </c>
      <c r="E7" s="5" t="s">
        <v>23</v>
      </c>
      <c r="F7" s="7" t="s">
        <v>24</v>
      </c>
      <c r="G7" s="14" t="s">
        <v>25</v>
      </c>
      <c r="H7" s="26">
        <v>10</v>
      </c>
      <c r="I7" s="26">
        <v>44</v>
      </c>
      <c r="J7" s="26">
        <v>39</v>
      </c>
      <c r="K7" s="26">
        <v>44</v>
      </c>
      <c r="L7" s="1">
        <v>27</v>
      </c>
      <c r="M7" s="100"/>
      <c r="N7" s="15">
        <v>10</v>
      </c>
      <c r="O7" s="26">
        <v>61</v>
      </c>
      <c r="P7" s="26">
        <v>62</v>
      </c>
      <c r="Q7" s="10">
        <v>60</v>
      </c>
      <c r="R7" s="26">
        <v>12</v>
      </c>
      <c r="S7" s="1">
        <v>13</v>
      </c>
      <c r="T7" s="26">
        <v>10</v>
      </c>
      <c r="V7" s="1"/>
      <c r="W7" s="1"/>
      <c r="X7" s="1"/>
      <c r="Y7" s="1"/>
      <c r="Z7" s="1"/>
    </row>
    <row r="8" spans="2:26">
      <c r="B8" s="181"/>
      <c r="C8" s="192"/>
      <c r="D8" s="1" t="s">
        <v>26</v>
      </c>
      <c r="E8" s="1" t="s">
        <v>27</v>
      </c>
      <c r="F8" t="s">
        <v>28</v>
      </c>
      <c r="G8" s="15" t="s">
        <v>29</v>
      </c>
      <c r="H8" s="26">
        <v>15</v>
      </c>
      <c r="I8" s="26">
        <v>43</v>
      </c>
      <c r="J8" s="26">
        <v>41</v>
      </c>
      <c r="K8" s="26">
        <v>41</v>
      </c>
      <c r="L8" s="1">
        <v>34</v>
      </c>
      <c r="M8" s="100"/>
      <c r="N8" s="15">
        <v>11</v>
      </c>
      <c r="O8" s="26">
        <v>63</v>
      </c>
      <c r="P8" s="26">
        <v>63</v>
      </c>
      <c r="Q8" s="10">
        <v>60</v>
      </c>
      <c r="R8" s="26">
        <v>10</v>
      </c>
      <c r="S8" s="1">
        <v>13</v>
      </c>
      <c r="T8" s="26">
        <v>11</v>
      </c>
      <c r="V8" s="1"/>
      <c r="W8" s="1"/>
      <c r="X8" s="1"/>
      <c r="Y8" s="1"/>
      <c r="Z8" s="1"/>
    </row>
    <row r="9" spans="2:26">
      <c r="B9" s="181"/>
      <c r="C9" s="192"/>
      <c r="D9" s="1" t="s">
        <v>30</v>
      </c>
      <c r="E9" s="1" t="s">
        <v>31</v>
      </c>
      <c r="F9" s="9" t="s">
        <v>32</v>
      </c>
      <c r="G9" s="15" t="s">
        <v>33</v>
      </c>
      <c r="H9" s="26">
        <v>12</v>
      </c>
      <c r="I9" s="26">
        <v>39</v>
      </c>
      <c r="J9" s="26">
        <v>36</v>
      </c>
      <c r="K9" s="26">
        <v>39</v>
      </c>
      <c r="L9" s="1">
        <v>33</v>
      </c>
      <c r="M9" s="100"/>
      <c r="N9" s="15">
        <v>10</v>
      </c>
      <c r="O9" s="26">
        <v>75</v>
      </c>
      <c r="P9" s="26">
        <v>67</v>
      </c>
      <c r="Q9" s="10">
        <v>60</v>
      </c>
      <c r="R9" s="26">
        <v>12</v>
      </c>
      <c r="S9" s="1">
        <v>12</v>
      </c>
      <c r="T9" s="26">
        <v>10</v>
      </c>
      <c r="V9" s="1"/>
      <c r="W9" s="1"/>
      <c r="X9" s="1"/>
      <c r="Y9" s="1"/>
      <c r="Z9" s="1"/>
    </row>
    <row r="10" spans="2:26" ht="14.5" thickBot="1">
      <c r="B10" s="182"/>
      <c r="C10" s="193"/>
      <c r="D10" s="11" t="s">
        <v>34</v>
      </c>
      <c r="E10" s="11" t="s">
        <v>35</v>
      </c>
      <c r="F10" s="12" t="s">
        <v>36</v>
      </c>
      <c r="G10" s="16" t="s">
        <v>37</v>
      </c>
      <c r="H10" s="26">
        <v>18</v>
      </c>
      <c r="I10" s="26">
        <v>37</v>
      </c>
      <c r="J10" s="26">
        <v>29</v>
      </c>
      <c r="K10" s="26">
        <v>40</v>
      </c>
      <c r="L10" s="1">
        <v>36</v>
      </c>
      <c r="M10" s="100"/>
      <c r="N10" s="15">
        <v>8</v>
      </c>
      <c r="O10" s="26">
        <v>61</v>
      </c>
      <c r="P10" s="26">
        <v>57</v>
      </c>
      <c r="Q10" s="166">
        <v>62</v>
      </c>
      <c r="R10" s="26">
        <v>12</v>
      </c>
      <c r="S10" s="1">
        <v>11</v>
      </c>
      <c r="T10" s="26">
        <v>11</v>
      </c>
      <c r="V10" s="1"/>
      <c r="W10" s="1"/>
      <c r="X10" s="1"/>
      <c r="Y10" s="1"/>
      <c r="Z10" s="1"/>
    </row>
    <row r="11" spans="2:26">
      <c r="B11" s="180" t="s">
        <v>38</v>
      </c>
      <c r="C11" s="191" t="s">
        <v>39</v>
      </c>
      <c r="D11" s="5" t="s">
        <v>40</v>
      </c>
      <c r="E11" s="5" t="s">
        <v>41</v>
      </c>
      <c r="F11" s="5" t="s">
        <v>42</v>
      </c>
      <c r="G11" s="8" t="s">
        <v>43</v>
      </c>
      <c r="H11" s="26">
        <v>42</v>
      </c>
      <c r="I11" s="26">
        <v>65</v>
      </c>
      <c r="J11" s="26">
        <v>63</v>
      </c>
      <c r="K11" s="26">
        <v>63</v>
      </c>
      <c r="L11" s="1">
        <v>49</v>
      </c>
      <c r="M11" s="100"/>
      <c r="N11" s="15">
        <v>46</v>
      </c>
      <c r="O11" s="26">
        <v>75</v>
      </c>
      <c r="P11" s="26">
        <v>78</v>
      </c>
      <c r="Q11" s="10">
        <v>64</v>
      </c>
      <c r="R11" s="26">
        <v>0</v>
      </c>
      <c r="S11" s="1">
        <v>12</v>
      </c>
      <c r="T11" s="26">
        <v>11</v>
      </c>
      <c r="V11" s="1"/>
      <c r="W11" s="1"/>
      <c r="X11" s="1"/>
      <c r="Y11" s="1"/>
      <c r="Z11" s="1"/>
    </row>
    <row r="12" spans="2:26">
      <c r="B12" s="181"/>
      <c r="C12" s="192"/>
      <c r="D12" s="1" t="s">
        <v>22</v>
      </c>
      <c r="E12" s="1" t="s">
        <v>44</v>
      </c>
      <c r="F12" s="1" t="s">
        <v>45</v>
      </c>
      <c r="G12" s="17" t="s">
        <v>46</v>
      </c>
      <c r="H12" s="26">
        <v>58</v>
      </c>
      <c r="I12" s="26">
        <v>71</v>
      </c>
      <c r="J12" s="26">
        <v>69</v>
      </c>
      <c r="K12" s="26">
        <v>73</v>
      </c>
      <c r="L12" s="1">
        <v>50</v>
      </c>
      <c r="M12" s="100"/>
      <c r="N12" s="15">
        <v>49</v>
      </c>
      <c r="O12" s="26">
        <v>69</v>
      </c>
      <c r="P12" s="26">
        <v>78</v>
      </c>
      <c r="Q12" s="10">
        <v>79</v>
      </c>
      <c r="R12" s="26">
        <v>18</v>
      </c>
      <c r="S12" s="1">
        <v>15</v>
      </c>
      <c r="T12" s="26">
        <v>12</v>
      </c>
      <c r="V12" s="1"/>
      <c r="W12" s="1"/>
      <c r="X12" s="1"/>
      <c r="Y12" s="1"/>
      <c r="Z12" s="1"/>
    </row>
    <row r="13" spans="2:26">
      <c r="B13" s="181"/>
      <c r="C13" s="192"/>
      <c r="D13" s="1" t="s">
        <v>47</v>
      </c>
      <c r="E13" s="1" t="s">
        <v>48</v>
      </c>
      <c r="F13" s="1" t="s">
        <v>49</v>
      </c>
      <c r="G13" s="10">
        <v>778528509</v>
      </c>
      <c r="H13" s="26">
        <v>44</v>
      </c>
      <c r="I13" s="26">
        <v>63</v>
      </c>
      <c r="J13" s="26">
        <v>79</v>
      </c>
      <c r="K13" s="26">
        <v>73</v>
      </c>
      <c r="L13" s="1">
        <v>49</v>
      </c>
      <c r="M13" s="100"/>
      <c r="N13" s="15">
        <v>39</v>
      </c>
      <c r="O13" s="26">
        <v>64</v>
      </c>
      <c r="P13" s="26">
        <v>73</v>
      </c>
      <c r="Q13" s="10">
        <v>72</v>
      </c>
      <c r="R13" s="26">
        <v>11</v>
      </c>
      <c r="S13" s="1">
        <v>15</v>
      </c>
      <c r="T13" s="26">
        <v>11</v>
      </c>
      <c r="V13" s="1"/>
      <c r="W13" s="1"/>
      <c r="X13" s="1"/>
      <c r="Y13" s="1"/>
      <c r="Z13" s="1"/>
    </row>
    <row r="14" spans="2:26" ht="14.5" thickBot="1">
      <c r="B14" s="182"/>
      <c r="C14" s="193"/>
      <c r="D14" s="11" t="s">
        <v>50</v>
      </c>
      <c r="E14" s="11" t="s">
        <v>23</v>
      </c>
      <c r="F14" s="11" t="s">
        <v>51</v>
      </c>
      <c r="G14" s="13">
        <v>787655222</v>
      </c>
      <c r="H14" s="26">
        <v>41</v>
      </c>
      <c r="I14" s="26">
        <v>79</v>
      </c>
      <c r="J14" s="26">
        <v>75</v>
      </c>
      <c r="K14" s="26">
        <v>68</v>
      </c>
      <c r="L14" s="1">
        <v>52</v>
      </c>
      <c r="M14" s="100"/>
      <c r="N14" s="15">
        <v>43</v>
      </c>
      <c r="O14" s="26">
        <v>69</v>
      </c>
      <c r="P14" s="26">
        <v>74</v>
      </c>
      <c r="Q14" s="10">
        <v>78</v>
      </c>
      <c r="R14" s="26">
        <v>10</v>
      </c>
      <c r="S14" s="1">
        <v>12</v>
      </c>
      <c r="T14" s="26">
        <v>10</v>
      </c>
      <c r="V14" s="1"/>
      <c r="W14" s="1"/>
      <c r="X14" s="1"/>
      <c r="Y14" s="1"/>
      <c r="Z14" s="1"/>
    </row>
    <row r="15" spans="2:26">
      <c r="B15" s="180" t="s">
        <v>52</v>
      </c>
      <c r="C15" s="194" t="s">
        <v>53</v>
      </c>
      <c r="D15" s="5" t="s">
        <v>54</v>
      </c>
      <c r="E15" s="5" t="s">
        <v>55</v>
      </c>
      <c r="F15" s="5" t="s">
        <v>56</v>
      </c>
      <c r="G15" s="18" t="s">
        <v>57</v>
      </c>
      <c r="H15" s="26">
        <v>50</v>
      </c>
      <c r="I15" s="26">
        <v>32</v>
      </c>
      <c r="J15" s="26">
        <v>24</v>
      </c>
      <c r="K15" s="26">
        <v>77</v>
      </c>
      <c r="L15" s="1">
        <v>68</v>
      </c>
      <c r="M15" s="100"/>
      <c r="N15" s="15">
        <v>11</v>
      </c>
      <c r="O15" s="26">
        <v>69</v>
      </c>
      <c r="P15" s="26">
        <v>76</v>
      </c>
      <c r="Q15" s="10">
        <v>57</v>
      </c>
      <c r="R15" s="26">
        <v>13</v>
      </c>
      <c r="S15" s="1">
        <v>12</v>
      </c>
      <c r="T15" s="26">
        <v>9</v>
      </c>
      <c r="V15" s="1"/>
      <c r="W15" s="1"/>
      <c r="X15" s="1"/>
      <c r="Y15" s="1"/>
      <c r="Z15" s="1"/>
    </row>
    <row r="16" spans="2:26">
      <c r="B16" s="181"/>
      <c r="C16" s="195"/>
      <c r="D16" s="1" t="s">
        <v>58</v>
      </c>
      <c r="E16" s="1" t="s">
        <v>59</v>
      </c>
      <c r="F16" s="1" t="s">
        <v>60</v>
      </c>
      <c r="G16" s="19" t="s">
        <v>61</v>
      </c>
      <c r="H16" s="26">
        <v>34</v>
      </c>
      <c r="I16" s="26">
        <v>21</v>
      </c>
      <c r="J16" s="26">
        <v>12</v>
      </c>
      <c r="K16" s="26">
        <v>27</v>
      </c>
      <c r="L16" s="1">
        <v>17</v>
      </c>
      <c r="M16" s="100"/>
      <c r="N16" s="15">
        <v>41</v>
      </c>
      <c r="O16" s="26">
        <v>39</v>
      </c>
      <c r="P16" s="26">
        <v>50</v>
      </c>
      <c r="Q16" s="10">
        <v>82</v>
      </c>
      <c r="R16" s="26">
        <v>15</v>
      </c>
      <c r="S16" s="1">
        <v>16</v>
      </c>
      <c r="T16" s="26">
        <v>10</v>
      </c>
      <c r="V16" s="1"/>
      <c r="W16" s="1"/>
      <c r="X16" s="1"/>
      <c r="Y16" s="1"/>
      <c r="Z16" s="1"/>
    </row>
    <row r="17" spans="2:26">
      <c r="B17" s="181"/>
      <c r="C17" s="195"/>
      <c r="D17" s="1" t="s">
        <v>62</v>
      </c>
      <c r="E17" s="1" t="s">
        <v>23</v>
      </c>
      <c r="F17" s="1" t="s">
        <v>63</v>
      </c>
      <c r="G17" s="19" t="s">
        <v>64</v>
      </c>
      <c r="H17" s="26">
        <v>58</v>
      </c>
      <c r="I17" s="26">
        <v>28</v>
      </c>
      <c r="J17" s="26">
        <v>21</v>
      </c>
      <c r="K17" s="26">
        <v>45</v>
      </c>
      <c r="L17" s="1">
        <v>51</v>
      </c>
      <c r="M17" s="100"/>
      <c r="N17" s="15">
        <v>3</v>
      </c>
      <c r="O17" s="26">
        <v>50</v>
      </c>
      <c r="P17" s="26">
        <v>60</v>
      </c>
      <c r="Q17" s="10">
        <v>59</v>
      </c>
      <c r="R17" s="26">
        <v>16</v>
      </c>
      <c r="S17" s="1">
        <v>18</v>
      </c>
      <c r="T17" s="26">
        <v>9</v>
      </c>
      <c r="V17" s="1"/>
      <c r="W17" s="1"/>
      <c r="X17" s="1"/>
      <c r="Y17" s="1"/>
      <c r="Z17" s="1"/>
    </row>
    <row r="18" spans="2:26" ht="14.5" thickBot="1">
      <c r="B18" s="182"/>
      <c r="C18" s="196"/>
      <c r="D18" s="20" t="s">
        <v>65</v>
      </c>
      <c r="E18" s="20" t="s">
        <v>66</v>
      </c>
      <c r="F18" s="20" t="s">
        <v>92</v>
      </c>
      <c r="G18" s="21" t="s">
        <v>67</v>
      </c>
      <c r="H18" s="26">
        <v>58</v>
      </c>
      <c r="I18" s="26">
        <v>46</v>
      </c>
      <c r="J18" s="26">
        <v>18</v>
      </c>
      <c r="K18" s="26">
        <v>84</v>
      </c>
      <c r="L18" s="1">
        <v>61</v>
      </c>
      <c r="M18" s="100"/>
      <c r="N18" s="15">
        <v>1</v>
      </c>
      <c r="O18" s="26">
        <v>68</v>
      </c>
      <c r="P18" s="26">
        <v>81</v>
      </c>
      <c r="Q18" s="10">
        <v>80</v>
      </c>
      <c r="R18" s="26">
        <v>8</v>
      </c>
      <c r="S18" s="1">
        <v>9</v>
      </c>
      <c r="T18" s="26">
        <v>7</v>
      </c>
      <c r="V18" s="1"/>
      <c r="W18" s="1"/>
      <c r="X18" s="1"/>
      <c r="Y18" s="1"/>
      <c r="Z18" s="1"/>
    </row>
    <row r="19" spans="2:26" ht="15" thickBot="1">
      <c r="B19" s="180" t="s">
        <v>68</v>
      </c>
      <c r="C19" s="191" t="s">
        <v>69</v>
      </c>
      <c r="D19" s="5" t="s">
        <v>70</v>
      </c>
      <c r="E19" s="5" t="s">
        <v>27</v>
      </c>
      <c r="F19" s="5" t="s">
        <v>71</v>
      </c>
      <c r="G19" s="22">
        <v>786241255</v>
      </c>
      <c r="H19" s="26">
        <v>55</v>
      </c>
      <c r="I19" s="26">
        <v>54</v>
      </c>
      <c r="J19" s="26">
        <v>58</v>
      </c>
      <c r="K19" s="26">
        <v>0</v>
      </c>
      <c r="L19" s="1">
        <v>56</v>
      </c>
      <c r="M19" s="100"/>
      <c r="N19" s="15">
        <v>5</v>
      </c>
      <c r="O19" s="26">
        <v>83</v>
      </c>
      <c r="P19" s="26">
        <v>94</v>
      </c>
      <c r="Q19" s="10">
        <v>77</v>
      </c>
      <c r="R19" s="26">
        <v>15</v>
      </c>
      <c r="S19" s="1">
        <v>10</v>
      </c>
      <c r="T19" s="26">
        <v>18</v>
      </c>
      <c r="V19" s="1"/>
      <c r="W19" s="1"/>
      <c r="X19" s="1"/>
      <c r="Y19" s="1"/>
      <c r="Z19" s="1"/>
    </row>
    <row r="20" spans="2:26" ht="15" thickBot="1">
      <c r="B20" s="181"/>
      <c r="C20" s="192"/>
      <c r="D20" s="1" t="s">
        <v>72</v>
      </c>
      <c r="E20" s="1" t="s">
        <v>73</v>
      </c>
      <c r="F20" s="1" t="s">
        <v>74</v>
      </c>
      <c r="G20" s="23">
        <v>775812208</v>
      </c>
      <c r="H20" s="26">
        <v>62</v>
      </c>
      <c r="I20" s="26">
        <v>57</v>
      </c>
      <c r="J20" s="26">
        <v>64</v>
      </c>
      <c r="K20" s="26">
        <v>83</v>
      </c>
      <c r="L20" s="1">
        <v>57</v>
      </c>
      <c r="M20" s="100"/>
      <c r="N20" s="15">
        <v>0</v>
      </c>
      <c r="O20" s="26">
        <v>101</v>
      </c>
      <c r="P20" s="26">
        <v>65</v>
      </c>
      <c r="Q20" s="10">
        <v>101</v>
      </c>
      <c r="R20" s="26">
        <v>12</v>
      </c>
      <c r="S20" s="1">
        <v>11</v>
      </c>
      <c r="T20" s="26">
        <v>11</v>
      </c>
      <c r="V20" s="1"/>
      <c r="W20" s="1"/>
      <c r="X20" s="1"/>
      <c r="Y20" s="1"/>
      <c r="Z20" s="1"/>
    </row>
    <row r="21" spans="2:26" ht="15" thickBot="1">
      <c r="B21" s="181"/>
      <c r="C21" s="192"/>
      <c r="D21" s="1" t="s">
        <v>75</v>
      </c>
      <c r="E21" s="1" t="s">
        <v>76</v>
      </c>
      <c r="F21" s="1" t="s">
        <v>77</v>
      </c>
      <c r="G21" s="23">
        <v>786241266</v>
      </c>
      <c r="H21" s="26">
        <v>46</v>
      </c>
      <c r="I21" s="26">
        <v>57</v>
      </c>
      <c r="J21" s="26">
        <v>66</v>
      </c>
      <c r="K21" s="26">
        <v>86</v>
      </c>
      <c r="L21" s="1">
        <v>72</v>
      </c>
      <c r="M21" s="100"/>
      <c r="N21" s="15">
        <v>23</v>
      </c>
      <c r="O21" s="26">
        <v>99</v>
      </c>
      <c r="P21" s="26">
        <v>61</v>
      </c>
      <c r="Q21" s="10">
        <v>97</v>
      </c>
      <c r="R21" s="26">
        <v>15</v>
      </c>
      <c r="S21" s="1">
        <v>14</v>
      </c>
      <c r="T21" s="26">
        <v>18</v>
      </c>
      <c r="V21" s="1"/>
      <c r="W21" s="1"/>
      <c r="X21" s="1"/>
      <c r="Y21" s="1"/>
      <c r="Z21" s="1"/>
    </row>
    <row r="22" spans="2:26" ht="15" thickBot="1">
      <c r="B22" s="182"/>
      <c r="C22" s="192"/>
      <c r="D22" s="2" t="s">
        <v>78</v>
      </c>
      <c r="E22" s="2" t="s">
        <v>79</v>
      </c>
      <c r="F22" s="2" t="s">
        <v>80</v>
      </c>
      <c r="G22" s="24">
        <v>786239376</v>
      </c>
      <c r="H22" s="26">
        <v>55</v>
      </c>
      <c r="I22" s="26">
        <v>66</v>
      </c>
      <c r="J22" s="26">
        <v>90</v>
      </c>
      <c r="K22" s="26">
        <v>118</v>
      </c>
      <c r="L22" s="1">
        <v>77</v>
      </c>
      <c r="M22" s="100"/>
      <c r="N22" s="15">
        <v>13</v>
      </c>
      <c r="O22" s="26">
        <v>61</v>
      </c>
      <c r="P22" s="26">
        <v>108</v>
      </c>
      <c r="Q22" s="10">
        <v>100</v>
      </c>
      <c r="R22" s="26">
        <v>18</v>
      </c>
      <c r="S22" s="1">
        <v>13</v>
      </c>
      <c r="T22" s="26">
        <v>24</v>
      </c>
      <c r="V22" s="1"/>
      <c r="W22" s="1"/>
      <c r="X22" s="1"/>
      <c r="Y22" s="1"/>
      <c r="Z22" s="1"/>
    </row>
    <row r="23" spans="2:26">
      <c r="B23" s="180" t="s">
        <v>81</v>
      </c>
      <c r="C23" s="197" t="s">
        <v>82</v>
      </c>
      <c r="D23" s="1" t="s">
        <v>83</v>
      </c>
      <c r="E23" s="1" t="s">
        <v>84</v>
      </c>
      <c r="F23" s="1" t="s">
        <v>85</v>
      </c>
      <c r="G23" s="15">
        <v>787095594</v>
      </c>
      <c r="H23" s="165"/>
      <c r="I23" s="165"/>
      <c r="J23" s="165"/>
      <c r="K23" s="26">
        <v>64</v>
      </c>
      <c r="L23" s="1">
        <v>64</v>
      </c>
      <c r="M23" s="162"/>
      <c r="N23" s="159">
        <v>39</v>
      </c>
      <c r="O23" s="26">
        <v>64</v>
      </c>
      <c r="P23" s="26">
        <v>80</v>
      </c>
      <c r="Q23" s="10">
        <v>60</v>
      </c>
      <c r="R23" s="26">
        <v>12</v>
      </c>
      <c r="S23" s="1">
        <v>12</v>
      </c>
      <c r="T23" s="26">
        <v>14</v>
      </c>
      <c r="V23" s="1"/>
      <c r="W23" s="1"/>
      <c r="X23" s="1"/>
      <c r="Y23" s="1"/>
      <c r="Z23" s="1"/>
    </row>
    <row r="24" spans="2:26">
      <c r="B24" s="181"/>
      <c r="C24" s="192"/>
      <c r="D24" s="1" t="s">
        <v>86</v>
      </c>
      <c r="E24" s="1" t="s">
        <v>87</v>
      </c>
      <c r="F24" s="1" t="s">
        <v>88</v>
      </c>
      <c r="G24" s="15">
        <v>787095584</v>
      </c>
      <c r="H24" s="165"/>
      <c r="I24" s="165"/>
      <c r="J24" s="165"/>
      <c r="K24" s="26">
        <v>65</v>
      </c>
      <c r="L24" s="1">
        <v>46</v>
      </c>
      <c r="M24" s="100"/>
      <c r="N24" s="15">
        <v>43</v>
      </c>
      <c r="O24" s="26">
        <v>55</v>
      </c>
      <c r="P24" s="26">
        <v>83</v>
      </c>
      <c r="Q24" s="10">
        <v>59</v>
      </c>
      <c r="R24" s="26">
        <v>12</v>
      </c>
      <c r="S24" s="1">
        <v>14</v>
      </c>
      <c r="T24" s="26">
        <v>11</v>
      </c>
      <c r="V24" s="1"/>
      <c r="W24" s="1"/>
      <c r="X24" s="1"/>
      <c r="Y24" s="1"/>
      <c r="Z24" s="1"/>
    </row>
    <row r="25" spans="2:26">
      <c r="B25" s="181"/>
      <c r="C25" s="192"/>
      <c r="D25" s="1" t="s">
        <v>89</v>
      </c>
      <c r="E25" s="1" t="s">
        <v>31</v>
      </c>
      <c r="F25" s="1" t="s">
        <v>90</v>
      </c>
      <c r="G25" s="15">
        <v>782989910</v>
      </c>
      <c r="H25" s="165"/>
      <c r="I25" s="165"/>
      <c r="J25" s="165"/>
      <c r="K25" s="26">
        <v>72</v>
      </c>
      <c r="L25" s="1">
        <v>72</v>
      </c>
      <c r="M25" s="100"/>
      <c r="N25" s="15">
        <v>46</v>
      </c>
      <c r="O25" s="26">
        <v>74</v>
      </c>
      <c r="P25" s="26">
        <v>79</v>
      </c>
      <c r="Q25" s="10">
        <v>59</v>
      </c>
      <c r="R25" s="26">
        <v>11</v>
      </c>
      <c r="S25" s="1">
        <v>12</v>
      </c>
      <c r="T25" s="26">
        <v>13</v>
      </c>
      <c r="V25" s="1"/>
      <c r="W25" s="1"/>
      <c r="X25" s="1"/>
      <c r="Y25" s="1"/>
      <c r="Z25" s="1"/>
    </row>
    <row r="26" spans="2:26" ht="14.5" thickBot="1">
      <c r="B26" s="182"/>
      <c r="C26" s="198"/>
      <c r="D26" s="1" t="s">
        <v>93</v>
      </c>
      <c r="E26" s="1" t="s">
        <v>94</v>
      </c>
      <c r="F26" s="1" t="s">
        <v>95</v>
      </c>
      <c r="G26" s="15">
        <v>781180981</v>
      </c>
      <c r="H26" s="165"/>
      <c r="I26" s="165"/>
      <c r="J26" s="165"/>
      <c r="K26" s="26">
        <v>116</v>
      </c>
      <c r="L26" s="1">
        <v>77</v>
      </c>
      <c r="M26" s="100"/>
      <c r="N26" s="15">
        <v>50</v>
      </c>
      <c r="O26" s="26">
        <v>86</v>
      </c>
      <c r="P26" s="26">
        <v>92</v>
      </c>
      <c r="Q26" s="10">
        <v>71</v>
      </c>
      <c r="R26" s="26">
        <v>12</v>
      </c>
      <c r="S26" s="1">
        <v>21</v>
      </c>
      <c r="T26" s="26">
        <v>18</v>
      </c>
      <c r="V26" s="1"/>
      <c r="W26" s="1"/>
      <c r="X26" s="1"/>
      <c r="Y26" s="1"/>
      <c r="Z26" s="1"/>
    </row>
    <row r="27" spans="2:26">
      <c r="H27" s="135">
        <f>SUM(H3:H26)</f>
        <v>796</v>
      </c>
      <c r="I27" s="135">
        <f t="shared" ref="I27:K27" si="0">SUM(I3:I26)</f>
        <v>962</v>
      </c>
      <c r="J27" s="135">
        <f t="shared" si="0"/>
        <v>921</v>
      </c>
      <c r="K27" s="135">
        <f t="shared" si="0"/>
        <v>1436</v>
      </c>
      <c r="L27" s="135">
        <f>SUM(L3:L26)</f>
        <v>1259</v>
      </c>
      <c r="M27" s="152"/>
      <c r="N27" s="135">
        <f t="shared" ref="N27:S27" si="1">SUM(N3:N26)</f>
        <v>628</v>
      </c>
      <c r="O27" s="135">
        <f t="shared" si="1"/>
        <v>1655</v>
      </c>
      <c r="P27" s="41">
        <f t="shared" si="1"/>
        <v>1652</v>
      </c>
      <c r="Q27" s="167">
        <f t="shared" si="1"/>
        <v>1696</v>
      </c>
      <c r="R27" s="1">
        <f t="shared" si="1"/>
        <v>290</v>
      </c>
      <c r="S27" s="1">
        <f t="shared" si="1"/>
        <v>312</v>
      </c>
      <c r="T27" s="1">
        <f>SUM(T3:T26)</f>
        <v>290</v>
      </c>
      <c r="V27" s="1"/>
      <c r="W27" s="1"/>
      <c r="X27" s="1"/>
      <c r="Y27" s="1"/>
      <c r="Z27" s="1"/>
    </row>
    <row r="28" spans="2:26">
      <c r="P28" s="164"/>
    </row>
  </sheetData>
  <mergeCells count="12">
    <mergeCell ref="B15:B18"/>
    <mergeCell ref="C15:C18"/>
    <mergeCell ref="B19:B22"/>
    <mergeCell ref="C19:C22"/>
    <mergeCell ref="B23:B26"/>
    <mergeCell ref="C23:C26"/>
    <mergeCell ref="B3:B6"/>
    <mergeCell ref="C3:C6"/>
    <mergeCell ref="B7:B10"/>
    <mergeCell ref="C7:C10"/>
    <mergeCell ref="B11:B14"/>
    <mergeCell ref="C11:C14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topLeftCell="D1" zoomScale="101" workbookViewId="0">
      <selection activeCell="E11" sqref="E11"/>
    </sheetView>
  </sheetViews>
  <sheetFormatPr baseColWidth="10" defaultRowHeight="14"/>
  <cols>
    <col min="4" max="4" width="22.4140625" customWidth="1"/>
    <col min="6" max="6" width="15.5" customWidth="1"/>
    <col min="7" max="7" width="11.5" style="25" customWidth="1"/>
    <col min="8" max="14" width="10.6640625" customWidth="1"/>
  </cols>
  <sheetData>
    <row r="1" spans="2:15" ht="16" customHeight="1"/>
    <row r="2" spans="2:15">
      <c r="B2" s="1"/>
      <c r="C2" s="1" t="s">
        <v>0</v>
      </c>
      <c r="D2" s="1" t="s">
        <v>1</v>
      </c>
      <c r="E2" s="1" t="s">
        <v>2</v>
      </c>
      <c r="F2" s="1" t="s">
        <v>3</v>
      </c>
      <c r="G2" s="26" t="s">
        <v>4</v>
      </c>
      <c r="H2" s="168">
        <v>45778</v>
      </c>
      <c r="I2" s="168">
        <v>45779</v>
      </c>
      <c r="J2" s="168">
        <v>45780</v>
      </c>
      <c r="K2" s="168">
        <v>45781</v>
      </c>
      <c r="L2" s="41" t="s">
        <v>162</v>
      </c>
      <c r="M2" s="41" t="s">
        <v>167</v>
      </c>
      <c r="N2" s="41" t="s">
        <v>168</v>
      </c>
      <c r="O2" s="41" t="s">
        <v>169</v>
      </c>
    </row>
    <row r="3" spans="2:15">
      <c r="B3" s="200" t="s">
        <v>7</v>
      </c>
      <c r="C3" s="200" t="s">
        <v>8</v>
      </c>
      <c r="D3" s="1" t="s">
        <v>9</v>
      </c>
      <c r="E3" s="1" t="s">
        <v>10</v>
      </c>
      <c r="F3" s="1" t="s">
        <v>11</v>
      </c>
      <c r="G3" s="26">
        <v>775810336</v>
      </c>
      <c r="H3" s="1">
        <v>11</v>
      </c>
      <c r="I3" s="1">
        <v>0</v>
      </c>
      <c r="J3" s="1">
        <v>11</v>
      </c>
      <c r="K3" s="1">
        <v>18</v>
      </c>
      <c r="L3" s="1">
        <v>71</v>
      </c>
      <c r="M3" s="1">
        <v>61</v>
      </c>
      <c r="N3" s="1">
        <v>61</v>
      </c>
      <c r="O3" s="179">
        <v>55</v>
      </c>
    </row>
    <row r="4" spans="2:15">
      <c r="B4" s="200"/>
      <c r="C4" s="200"/>
      <c r="D4" s="1" t="s">
        <v>12</v>
      </c>
      <c r="E4" s="1" t="s">
        <v>13</v>
      </c>
      <c r="F4" s="1" t="s">
        <v>14</v>
      </c>
      <c r="G4" s="26">
        <v>772107591</v>
      </c>
      <c r="H4" s="1">
        <v>10</v>
      </c>
      <c r="I4" s="1">
        <v>1</v>
      </c>
      <c r="J4" s="1">
        <v>9</v>
      </c>
      <c r="K4" s="1">
        <v>18</v>
      </c>
      <c r="L4" s="1">
        <v>67</v>
      </c>
      <c r="M4" s="1">
        <v>64</v>
      </c>
      <c r="N4" s="1">
        <v>62</v>
      </c>
      <c r="O4" s="179">
        <v>65</v>
      </c>
    </row>
    <row r="5" spans="2:15">
      <c r="B5" s="200"/>
      <c r="C5" s="200"/>
      <c r="D5" s="1" t="s">
        <v>15</v>
      </c>
      <c r="E5" s="1" t="s">
        <v>16</v>
      </c>
      <c r="F5" s="1" t="s">
        <v>17</v>
      </c>
      <c r="G5" s="26">
        <v>772104981</v>
      </c>
      <c r="H5" s="1">
        <v>19</v>
      </c>
      <c r="I5" s="1">
        <v>0</v>
      </c>
      <c r="J5" s="1">
        <v>25</v>
      </c>
      <c r="K5" s="1">
        <v>32</v>
      </c>
      <c r="L5" s="1">
        <v>81</v>
      </c>
      <c r="M5" s="1">
        <v>117</v>
      </c>
      <c r="N5" s="1">
        <v>78</v>
      </c>
      <c r="O5" s="179">
        <v>72</v>
      </c>
    </row>
    <row r="6" spans="2:15">
      <c r="B6" s="200"/>
      <c r="C6" s="200"/>
      <c r="D6" s="1" t="s">
        <v>15</v>
      </c>
      <c r="E6" s="1" t="s">
        <v>18</v>
      </c>
      <c r="F6" s="1" t="s">
        <v>19</v>
      </c>
      <c r="G6" s="26">
        <v>778525987</v>
      </c>
      <c r="H6" s="1">
        <v>15</v>
      </c>
      <c r="I6" s="1">
        <v>0</v>
      </c>
      <c r="J6" s="1">
        <v>11</v>
      </c>
      <c r="K6" s="1">
        <v>12</v>
      </c>
      <c r="L6" s="1">
        <v>71</v>
      </c>
      <c r="M6" s="1">
        <v>55</v>
      </c>
      <c r="N6" s="1">
        <v>70</v>
      </c>
      <c r="O6" s="179">
        <v>68</v>
      </c>
    </row>
    <row r="7" spans="2:15">
      <c r="B7" s="199" t="s">
        <v>20</v>
      </c>
      <c r="C7" s="199" t="s">
        <v>21</v>
      </c>
      <c r="D7" s="1" t="s">
        <v>22</v>
      </c>
      <c r="E7" s="1" t="s">
        <v>23</v>
      </c>
      <c r="F7" s="1" t="s">
        <v>24</v>
      </c>
      <c r="G7" s="88" t="s">
        <v>25</v>
      </c>
      <c r="H7" s="1">
        <v>8</v>
      </c>
      <c r="I7" s="1">
        <v>4</v>
      </c>
      <c r="J7" s="1">
        <v>0</v>
      </c>
      <c r="K7" s="1">
        <v>0</v>
      </c>
      <c r="L7" s="1">
        <v>54</v>
      </c>
      <c r="M7" s="1">
        <v>50</v>
      </c>
      <c r="N7" s="1">
        <v>58</v>
      </c>
      <c r="O7" s="1">
        <v>44</v>
      </c>
    </row>
    <row r="8" spans="2:15">
      <c r="B8" s="199"/>
      <c r="C8" s="199"/>
      <c r="D8" s="1" t="s">
        <v>26</v>
      </c>
      <c r="E8" s="1" t="s">
        <v>27</v>
      </c>
      <c r="F8" s="1" t="s">
        <v>28</v>
      </c>
      <c r="G8" s="88" t="s">
        <v>29</v>
      </c>
      <c r="H8" s="1">
        <v>7</v>
      </c>
      <c r="I8" s="1">
        <v>3</v>
      </c>
      <c r="J8" s="1">
        <v>0</v>
      </c>
      <c r="K8" s="1">
        <v>0</v>
      </c>
      <c r="L8" s="1">
        <v>50</v>
      </c>
      <c r="M8" s="1">
        <v>51</v>
      </c>
      <c r="N8" s="1">
        <v>59</v>
      </c>
      <c r="O8" s="1">
        <v>47</v>
      </c>
    </row>
    <row r="9" spans="2:15">
      <c r="B9" s="199"/>
      <c r="C9" s="199"/>
      <c r="D9" s="1" t="s">
        <v>30</v>
      </c>
      <c r="E9" s="1" t="s">
        <v>31</v>
      </c>
      <c r="F9" s="1" t="s">
        <v>32</v>
      </c>
      <c r="G9" s="88" t="s">
        <v>33</v>
      </c>
      <c r="H9" s="1">
        <v>7</v>
      </c>
      <c r="I9" s="1">
        <v>6</v>
      </c>
      <c r="J9" s="1">
        <v>0</v>
      </c>
      <c r="K9" s="1">
        <v>0</v>
      </c>
      <c r="L9" s="1">
        <v>59</v>
      </c>
      <c r="M9" s="1">
        <v>57</v>
      </c>
      <c r="N9" s="1">
        <v>62</v>
      </c>
      <c r="O9" s="1">
        <v>48</v>
      </c>
    </row>
    <row r="10" spans="2:15">
      <c r="B10" s="199"/>
      <c r="C10" s="199"/>
      <c r="D10" s="1" t="s">
        <v>34</v>
      </c>
      <c r="E10" s="1" t="s">
        <v>35</v>
      </c>
      <c r="F10" s="1" t="s">
        <v>36</v>
      </c>
      <c r="G10" s="88" t="s">
        <v>37</v>
      </c>
      <c r="H10" s="1">
        <v>12</v>
      </c>
      <c r="I10" s="1">
        <v>9</v>
      </c>
      <c r="J10" s="1">
        <v>1</v>
      </c>
      <c r="K10" s="1">
        <v>0</v>
      </c>
      <c r="L10" s="1">
        <v>56</v>
      </c>
      <c r="M10" s="1">
        <v>53</v>
      </c>
      <c r="N10" s="1">
        <v>64</v>
      </c>
      <c r="O10" s="1">
        <v>49</v>
      </c>
    </row>
    <row r="11" spans="2:15">
      <c r="B11" s="199" t="s">
        <v>38</v>
      </c>
      <c r="C11" s="199" t="s">
        <v>39</v>
      </c>
      <c r="D11" s="1" t="s">
        <v>40</v>
      </c>
      <c r="E11" s="1" t="s">
        <v>41</v>
      </c>
      <c r="F11" s="1" t="s">
        <v>42</v>
      </c>
      <c r="G11" s="26" t="s">
        <v>43</v>
      </c>
      <c r="H11" s="1">
        <v>17</v>
      </c>
      <c r="I11" s="1">
        <v>0</v>
      </c>
      <c r="J11" s="1">
        <v>12</v>
      </c>
      <c r="K11" s="1">
        <v>9</v>
      </c>
      <c r="L11" s="1">
        <v>80</v>
      </c>
      <c r="M11" s="1">
        <v>70</v>
      </c>
      <c r="N11" s="1">
        <v>76</v>
      </c>
      <c r="O11" s="1">
        <v>89</v>
      </c>
    </row>
    <row r="12" spans="2:15">
      <c r="B12" s="199"/>
      <c r="C12" s="199"/>
      <c r="D12" s="1" t="s">
        <v>22</v>
      </c>
      <c r="E12" s="1" t="s">
        <v>44</v>
      </c>
      <c r="F12" s="1" t="s">
        <v>45</v>
      </c>
      <c r="G12" s="103" t="s">
        <v>46</v>
      </c>
      <c r="H12" s="1">
        <v>14</v>
      </c>
      <c r="I12" s="1">
        <v>0</v>
      </c>
      <c r="J12" s="1">
        <v>12</v>
      </c>
      <c r="K12" s="1">
        <v>13</v>
      </c>
      <c r="L12" s="1">
        <v>85</v>
      </c>
      <c r="M12" s="1">
        <v>77</v>
      </c>
      <c r="N12" s="1">
        <v>84</v>
      </c>
      <c r="O12" s="1">
        <v>99</v>
      </c>
    </row>
    <row r="13" spans="2:15">
      <c r="B13" s="199"/>
      <c r="C13" s="199"/>
      <c r="D13" s="1" t="s">
        <v>47</v>
      </c>
      <c r="E13" s="1" t="s">
        <v>48</v>
      </c>
      <c r="F13" s="1" t="s">
        <v>49</v>
      </c>
      <c r="G13" s="26">
        <v>778528509</v>
      </c>
      <c r="H13" s="1">
        <v>7</v>
      </c>
      <c r="I13" s="1">
        <v>0</v>
      </c>
      <c r="J13" s="1">
        <v>18</v>
      </c>
      <c r="K13" s="1">
        <v>11</v>
      </c>
      <c r="L13" s="1">
        <v>84</v>
      </c>
      <c r="M13" s="1">
        <v>77</v>
      </c>
      <c r="N13" s="1">
        <v>92</v>
      </c>
      <c r="O13" s="1">
        <v>66</v>
      </c>
    </row>
    <row r="14" spans="2:15">
      <c r="B14" s="199"/>
      <c r="C14" s="199"/>
      <c r="D14" s="1" t="s">
        <v>50</v>
      </c>
      <c r="E14" s="1" t="s">
        <v>23</v>
      </c>
      <c r="F14" s="1" t="s">
        <v>51</v>
      </c>
      <c r="G14" s="26">
        <v>787655222</v>
      </c>
      <c r="H14" s="1">
        <v>10</v>
      </c>
      <c r="I14" s="1">
        <v>0</v>
      </c>
      <c r="J14" s="1">
        <v>14</v>
      </c>
      <c r="K14" s="1">
        <v>11</v>
      </c>
      <c r="L14" s="1">
        <v>65</v>
      </c>
      <c r="M14" s="1">
        <v>72</v>
      </c>
      <c r="N14" s="1">
        <v>63</v>
      </c>
      <c r="O14" s="1">
        <v>67</v>
      </c>
    </row>
    <row r="15" spans="2:15">
      <c r="B15" s="199" t="s">
        <v>52</v>
      </c>
      <c r="C15" s="199" t="s">
        <v>53</v>
      </c>
      <c r="D15" s="1" t="s">
        <v>54</v>
      </c>
      <c r="E15" s="1" t="s">
        <v>55</v>
      </c>
      <c r="F15" s="1" t="s">
        <v>56</v>
      </c>
      <c r="G15" s="104" t="s">
        <v>57</v>
      </c>
      <c r="H15" s="1">
        <v>0</v>
      </c>
      <c r="I15" s="1">
        <v>0</v>
      </c>
      <c r="J15" s="1">
        <v>5</v>
      </c>
      <c r="K15" s="1">
        <v>17</v>
      </c>
      <c r="L15" s="1">
        <v>98</v>
      </c>
      <c r="M15" s="1">
        <v>66</v>
      </c>
      <c r="N15" s="1">
        <v>78</v>
      </c>
      <c r="O15" s="1">
        <v>45</v>
      </c>
    </row>
    <row r="16" spans="2:15">
      <c r="B16" s="199"/>
      <c r="C16" s="199"/>
      <c r="D16" s="1" t="s">
        <v>163</v>
      </c>
      <c r="E16" s="1" t="s">
        <v>164</v>
      </c>
      <c r="F16" s="1" t="s">
        <v>165</v>
      </c>
      <c r="G16" s="104" t="s">
        <v>166</v>
      </c>
      <c r="H16" s="1">
        <v>8</v>
      </c>
      <c r="I16" s="1">
        <v>10</v>
      </c>
      <c r="J16" s="1">
        <v>6</v>
      </c>
      <c r="K16" s="1">
        <v>0</v>
      </c>
      <c r="L16" s="1">
        <v>92</v>
      </c>
      <c r="M16" s="1">
        <v>63</v>
      </c>
      <c r="N16" s="1">
        <v>92</v>
      </c>
      <c r="O16" s="1">
        <v>57</v>
      </c>
    </row>
    <row r="17" spans="2:15">
      <c r="B17" s="199"/>
      <c r="C17" s="199"/>
      <c r="D17" s="1" t="s">
        <v>62</v>
      </c>
      <c r="E17" s="1" t="s">
        <v>23</v>
      </c>
      <c r="F17" s="1" t="s">
        <v>63</v>
      </c>
      <c r="G17" s="104" t="s">
        <v>64</v>
      </c>
      <c r="H17" s="1">
        <v>0</v>
      </c>
      <c r="I17" s="1">
        <v>2</v>
      </c>
      <c r="J17" s="1">
        <v>10</v>
      </c>
      <c r="K17" s="1">
        <v>1</v>
      </c>
      <c r="L17" s="1">
        <v>60</v>
      </c>
      <c r="M17" s="1">
        <v>46</v>
      </c>
      <c r="N17" s="1">
        <v>83</v>
      </c>
      <c r="O17" s="1">
        <v>42</v>
      </c>
    </row>
    <row r="18" spans="2:15">
      <c r="B18" s="199"/>
      <c r="C18" s="199"/>
      <c r="D18" s="105" t="s">
        <v>65</v>
      </c>
      <c r="E18" s="105" t="s">
        <v>66</v>
      </c>
      <c r="F18" s="105" t="s">
        <v>92</v>
      </c>
      <c r="G18" s="104" t="s">
        <v>67</v>
      </c>
      <c r="H18" s="1">
        <v>0</v>
      </c>
      <c r="I18" s="1">
        <v>0</v>
      </c>
      <c r="J18" s="1">
        <v>15</v>
      </c>
      <c r="K18" s="1">
        <v>0</v>
      </c>
      <c r="L18" s="1">
        <v>76</v>
      </c>
      <c r="M18" s="1">
        <v>53</v>
      </c>
      <c r="N18" s="1">
        <v>75</v>
      </c>
      <c r="O18" s="1">
        <v>38</v>
      </c>
    </row>
    <row r="19" spans="2:15" ht="14.5">
      <c r="B19" s="199" t="s">
        <v>68</v>
      </c>
      <c r="C19" s="199" t="s">
        <v>69</v>
      </c>
      <c r="D19" s="1" t="s">
        <v>70</v>
      </c>
      <c r="E19" s="1" t="s">
        <v>27</v>
      </c>
      <c r="F19" s="1" t="s">
        <v>71</v>
      </c>
      <c r="G19" s="108">
        <v>786241255</v>
      </c>
      <c r="H19" s="1">
        <v>9</v>
      </c>
      <c r="I19" s="1">
        <v>13</v>
      </c>
      <c r="J19" s="1">
        <v>11</v>
      </c>
      <c r="K19" s="1">
        <v>0</v>
      </c>
      <c r="L19" s="1">
        <v>72</v>
      </c>
      <c r="M19" s="1">
        <v>82</v>
      </c>
      <c r="N19" s="1">
        <v>106</v>
      </c>
      <c r="O19" s="1">
        <v>54</v>
      </c>
    </row>
    <row r="20" spans="2:15" ht="14.5">
      <c r="B20" s="199"/>
      <c r="C20" s="199"/>
      <c r="D20" s="1" t="s">
        <v>72</v>
      </c>
      <c r="E20" s="1" t="s">
        <v>73</v>
      </c>
      <c r="F20" s="1" t="s">
        <v>74</v>
      </c>
      <c r="G20" s="108">
        <v>775812208</v>
      </c>
      <c r="H20" s="1">
        <v>12</v>
      </c>
      <c r="I20" s="1">
        <v>10</v>
      </c>
      <c r="J20" s="1">
        <v>11</v>
      </c>
      <c r="K20" s="1">
        <v>11</v>
      </c>
      <c r="L20" s="1">
        <v>52</v>
      </c>
      <c r="M20" s="1">
        <v>84</v>
      </c>
      <c r="N20" s="1">
        <v>127</v>
      </c>
      <c r="O20" s="1">
        <v>55</v>
      </c>
    </row>
    <row r="21" spans="2:15" ht="14.5">
      <c r="B21" s="199"/>
      <c r="C21" s="199"/>
      <c r="D21" s="1" t="s">
        <v>75</v>
      </c>
      <c r="E21" s="1" t="s">
        <v>76</v>
      </c>
      <c r="F21" s="1" t="s">
        <v>77</v>
      </c>
      <c r="G21" s="108">
        <v>786241266</v>
      </c>
      <c r="H21" s="1">
        <v>9</v>
      </c>
      <c r="I21" s="1">
        <v>16</v>
      </c>
      <c r="J21" s="1">
        <v>10</v>
      </c>
      <c r="K21" s="1">
        <v>9</v>
      </c>
      <c r="L21" s="1">
        <v>75</v>
      </c>
      <c r="M21" s="1">
        <v>82</v>
      </c>
      <c r="N21" s="1">
        <v>113</v>
      </c>
      <c r="O21" s="1">
        <v>76</v>
      </c>
    </row>
    <row r="22" spans="2:15" ht="14.5">
      <c r="B22" s="199"/>
      <c r="C22" s="199"/>
      <c r="D22" s="1" t="s">
        <v>78</v>
      </c>
      <c r="E22" s="1" t="s">
        <v>79</v>
      </c>
      <c r="F22" s="1" t="s">
        <v>80</v>
      </c>
      <c r="G22" s="108">
        <v>786239376</v>
      </c>
      <c r="H22" s="1">
        <v>12</v>
      </c>
      <c r="I22" s="1">
        <v>14</v>
      </c>
      <c r="J22" s="1">
        <v>12</v>
      </c>
      <c r="K22" s="1">
        <v>0</v>
      </c>
      <c r="L22" s="1">
        <v>68</v>
      </c>
      <c r="M22" s="1">
        <v>103</v>
      </c>
      <c r="N22" s="1">
        <v>160</v>
      </c>
      <c r="O22" s="1">
        <v>66</v>
      </c>
    </row>
    <row r="23" spans="2:15">
      <c r="B23" s="199" t="s">
        <v>81</v>
      </c>
      <c r="C23" s="199" t="s">
        <v>82</v>
      </c>
      <c r="D23" s="1" t="s">
        <v>83</v>
      </c>
      <c r="E23" s="1" t="s">
        <v>84</v>
      </c>
      <c r="F23" s="1" t="s">
        <v>85</v>
      </c>
      <c r="G23" s="88">
        <v>787095594</v>
      </c>
      <c r="H23" s="1">
        <v>0</v>
      </c>
      <c r="I23" s="1">
        <v>11</v>
      </c>
      <c r="J23" s="1">
        <v>13</v>
      </c>
      <c r="K23" s="1">
        <v>0</v>
      </c>
      <c r="L23" s="1">
        <v>99</v>
      </c>
      <c r="M23" s="1">
        <v>82</v>
      </c>
      <c r="N23" s="1">
        <v>80</v>
      </c>
      <c r="O23" s="1">
        <v>55</v>
      </c>
    </row>
    <row r="24" spans="2:15">
      <c r="B24" s="199"/>
      <c r="C24" s="199"/>
      <c r="D24" s="1" t="s">
        <v>86</v>
      </c>
      <c r="E24" s="1" t="s">
        <v>87</v>
      </c>
      <c r="F24" s="1" t="s">
        <v>88</v>
      </c>
      <c r="G24" s="88">
        <v>787095584</v>
      </c>
      <c r="H24" s="1">
        <v>0</v>
      </c>
      <c r="I24" s="1">
        <v>11</v>
      </c>
      <c r="J24" s="1">
        <v>13</v>
      </c>
      <c r="K24" s="1">
        <v>0</v>
      </c>
      <c r="L24" s="1">
        <v>89</v>
      </c>
      <c r="M24" s="1">
        <v>78</v>
      </c>
      <c r="N24" s="1">
        <v>41</v>
      </c>
      <c r="O24" s="1">
        <v>69</v>
      </c>
    </row>
    <row r="25" spans="2:15">
      <c r="B25" s="199"/>
      <c r="C25" s="199"/>
      <c r="D25" s="1" t="s">
        <v>89</v>
      </c>
      <c r="E25" s="1" t="s">
        <v>31</v>
      </c>
      <c r="F25" s="1" t="s">
        <v>90</v>
      </c>
      <c r="G25" s="88">
        <v>782989910</v>
      </c>
      <c r="H25" s="1">
        <v>0</v>
      </c>
      <c r="I25" s="1">
        <v>14</v>
      </c>
      <c r="J25" s="1">
        <v>15</v>
      </c>
      <c r="K25" s="1">
        <v>0</v>
      </c>
      <c r="L25" s="1">
        <v>87</v>
      </c>
      <c r="M25" s="1">
        <v>75</v>
      </c>
      <c r="N25" s="1">
        <v>82</v>
      </c>
      <c r="O25" s="1">
        <v>60</v>
      </c>
    </row>
    <row r="26" spans="2:15">
      <c r="B26" s="199"/>
      <c r="C26" s="199"/>
      <c r="D26" s="1" t="s">
        <v>93</v>
      </c>
      <c r="E26" s="1" t="s">
        <v>94</v>
      </c>
      <c r="F26" s="1" t="s">
        <v>95</v>
      </c>
      <c r="G26" s="88">
        <v>781180981</v>
      </c>
      <c r="H26" s="1">
        <v>0</v>
      </c>
      <c r="I26" s="1">
        <v>16</v>
      </c>
      <c r="J26" s="1">
        <v>19</v>
      </c>
      <c r="K26" s="1">
        <v>0</v>
      </c>
      <c r="L26" s="1">
        <v>167</v>
      </c>
      <c r="M26" s="1">
        <v>67</v>
      </c>
      <c r="N26" s="1">
        <v>131</v>
      </c>
      <c r="O26" s="1">
        <v>51</v>
      </c>
    </row>
    <row r="27" spans="2:15">
      <c r="B27" s="1"/>
      <c r="C27" s="1"/>
      <c r="D27" s="1"/>
      <c r="E27" s="1"/>
      <c r="F27" s="1"/>
      <c r="G27" s="26"/>
      <c r="H27" s="1">
        <f>SUM(H3:H26)</f>
        <v>187</v>
      </c>
      <c r="I27" s="1">
        <f t="shared" ref="I27:L27" si="0">SUM(I3:I26)</f>
        <v>140</v>
      </c>
      <c r="J27" s="1">
        <f t="shared" si="0"/>
        <v>253</v>
      </c>
      <c r="K27" s="1">
        <f t="shared" si="0"/>
        <v>162</v>
      </c>
      <c r="L27" s="1">
        <f t="shared" si="0"/>
        <v>1858</v>
      </c>
      <c r="M27" s="1">
        <f>SUM(M3:M26)</f>
        <v>1685</v>
      </c>
      <c r="N27" s="1">
        <f>SUM(N3:N26)</f>
        <v>1997</v>
      </c>
      <c r="O27" s="1"/>
    </row>
  </sheetData>
  <mergeCells count="12">
    <mergeCell ref="B3:B6"/>
    <mergeCell ref="C3:C6"/>
    <mergeCell ref="B7:B10"/>
    <mergeCell ref="C7:C10"/>
    <mergeCell ref="B11:B14"/>
    <mergeCell ref="C11:C14"/>
    <mergeCell ref="B15:B18"/>
    <mergeCell ref="C15:C18"/>
    <mergeCell ref="B19:B22"/>
    <mergeCell ref="C19:C22"/>
    <mergeCell ref="B23:B26"/>
    <mergeCell ref="C23:C26"/>
  </mergeCells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opLeftCell="B1" workbookViewId="0">
      <selection activeCell="K2" sqref="K2"/>
    </sheetView>
  </sheetViews>
  <sheetFormatPr baseColWidth="10" defaultRowHeight="14"/>
  <sheetData>
    <row r="1" spans="1:13" ht="14.5" thickBot="1">
      <c r="B1" s="1" t="s">
        <v>0</v>
      </c>
      <c r="C1" s="2" t="s">
        <v>1</v>
      </c>
      <c r="D1" s="26" t="s">
        <v>97</v>
      </c>
      <c r="E1" s="163" t="s">
        <v>145</v>
      </c>
      <c r="F1" s="135" t="s">
        <v>146</v>
      </c>
      <c r="G1" s="135" t="s">
        <v>147</v>
      </c>
      <c r="H1" s="163" t="s">
        <v>148</v>
      </c>
      <c r="I1" s="168">
        <v>45775</v>
      </c>
      <c r="J1" s="168">
        <v>45776</v>
      </c>
      <c r="K1" s="168">
        <v>45777</v>
      </c>
      <c r="L1" t="s">
        <v>149</v>
      </c>
      <c r="M1" s="176">
        <v>45778</v>
      </c>
    </row>
    <row r="2" spans="1:13">
      <c r="A2" s="186" t="s">
        <v>7</v>
      </c>
      <c r="B2" s="189" t="s">
        <v>8</v>
      </c>
      <c r="C2" s="5" t="s">
        <v>9</v>
      </c>
      <c r="D2" s="1">
        <v>54</v>
      </c>
      <c r="E2" s="15">
        <v>33</v>
      </c>
      <c r="F2" s="26">
        <v>69</v>
      </c>
      <c r="G2" s="26">
        <v>40</v>
      </c>
      <c r="H2" s="10">
        <v>58</v>
      </c>
      <c r="I2" s="26">
        <v>11</v>
      </c>
      <c r="J2" s="1">
        <v>10</v>
      </c>
      <c r="K2" s="26">
        <v>10</v>
      </c>
      <c r="L2">
        <f>SUM(D2:K2)</f>
        <v>285</v>
      </c>
    </row>
    <row r="3" spans="1:13">
      <c r="A3" s="187"/>
      <c r="B3" s="189"/>
      <c r="C3" s="1" t="s">
        <v>12</v>
      </c>
      <c r="D3" s="1">
        <v>55</v>
      </c>
      <c r="E3" s="15">
        <v>37</v>
      </c>
      <c r="F3" s="26">
        <v>69</v>
      </c>
      <c r="G3" s="26">
        <v>44</v>
      </c>
      <c r="H3" s="25">
        <v>60</v>
      </c>
      <c r="I3" s="26">
        <v>11</v>
      </c>
      <c r="J3" s="1">
        <v>14</v>
      </c>
      <c r="K3" s="26">
        <v>10</v>
      </c>
      <c r="L3">
        <f t="shared" ref="L3:L25" si="0">SUM(D3:K3)</f>
        <v>300</v>
      </c>
    </row>
    <row r="4" spans="1:13">
      <c r="A4" s="187"/>
      <c r="B4" s="189"/>
      <c r="C4" s="1" t="s">
        <v>15</v>
      </c>
      <c r="D4" s="1">
        <v>58</v>
      </c>
      <c r="E4" s="15">
        <v>31</v>
      </c>
      <c r="F4" s="26">
        <v>57</v>
      </c>
      <c r="G4" s="26">
        <v>44</v>
      </c>
      <c r="H4" s="10">
        <v>79</v>
      </c>
      <c r="I4" s="26">
        <v>13</v>
      </c>
      <c r="J4" s="1">
        <v>12</v>
      </c>
      <c r="K4" s="26">
        <v>11</v>
      </c>
      <c r="L4">
        <f t="shared" si="0"/>
        <v>305</v>
      </c>
    </row>
    <row r="5" spans="1:13" ht="14.5" thickBot="1">
      <c r="A5" s="188"/>
      <c r="B5" s="190"/>
      <c r="C5" s="11" t="s">
        <v>15</v>
      </c>
      <c r="D5" s="1">
        <v>44</v>
      </c>
      <c r="E5" s="15">
        <v>36</v>
      </c>
      <c r="F5" s="26">
        <v>74</v>
      </c>
      <c r="G5" s="26">
        <v>43</v>
      </c>
      <c r="H5" s="10">
        <v>62</v>
      </c>
      <c r="I5" s="26">
        <v>11</v>
      </c>
      <c r="J5" s="1">
        <v>11</v>
      </c>
      <c r="K5" s="26">
        <v>11</v>
      </c>
      <c r="L5">
        <f t="shared" si="0"/>
        <v>292</v>
      </c>
    </row>
    <row r="6" spans="1:13">
      <c r="A6" s="180" t="s">
        <v>20</v>
      </c>
      <c r="B6" s="191" t="s">
        <v>21</v>
      </c>
      <c r="C6" s="5" t="s">
        <v>22</v>
      </c>
      <c r="D6" s="1">
        <v>27</v>
      </c>
      <c r="E6" s="15">
        <v>10</v>
      </c>
      <c r="F6" s="26">
        <v>61</v>
      </c>
      <c r="G6" s="26">
        <v>62</v>
      </c>
      <c r="H6" s="10">
        <v>60</v>
      </c>
      <c r="I6" s="26">
        <v>12</v>
      </c>
      <c r="J6" s="1">
        <v>13</v>
      </c>
      <c r="K6" s="26">
        <v>10</v>
      </c>
      <c r="L6">
        <f t="shared" si="0"/>
        <v>255</v>
      </c>
    </row>
    <row r="7" spans="1:13">
      <c r="A7" s="181"/>
      <c r="B7" s="192"/>
      <c r="C7" s="1" t="s">
        <v>26</v>
      </c>
      <c r="D7" s="1">
        <v>34</v>
      </c>
      <c r="E7" s="15">
        <v>11</v>
      </c>
      <c r="F7" s="26">
        <v>63</v>
      </c>
      <c r="G7" s="26">
        <v>63</v>
      </c>
      <c r="H7" s="10">
        <v>60</v>
      </c>
      <c r="I7" s="26">
        <v>10</v>
      </c>
      <c r="J7" s="1">
        <v>13</v>
      </c>
      <c r="K7" s="26">
        <v>11</v>
      </c>
      <c r="L7">
        <f t="shared" si="0"/>
        <v>265</v>
      </c>
    </row>
    <row r="8" spans="1:13">
      <c r="A8" s="181"/>
      <c r="B8" s="192"/>
      <c r="C8" s="1" t="s">
        <v>30</v>
      </c>
      <c r="D8" s="1">
        <v>33</v>
      </c>
      <c r="E8" s="15">
        <v>10</v>
      </c>
      <c r="F8" s="26">
        <v>75</v>
      </c>
      <c r="G8" s="26">
        <v>67</v>
      </c>
      <c r="H8" s="10">
        <v>60</v>
      </c>
      <c r="I8" s="26">
        <v>12</v>
      </c>
      <c r="J8" s="1">
        <v>12</v>
      </c>
      <c r="K8" s="26">
        <v>10</v>
      </c>
      <c r="L8">
        <f t="shared" si="0"/>
        <v>279</v>
      </c>
    </row>
    <row r="9" spans="1:13" ht="14.5" thickBot="1">
      <c r="A9" s="182"/>
      <c r="B9" s="193"/>
      <c r="C9" s="11" t="s">
        <v>34</v>
      </c>
      <c r="D9" s="1">
        <v>36</v>
      </c>
      <c r="E9" s="15">
        <v>8</v>
      </c>
      <c r="F9" s="26">
        <v>61</v>
      </c>
      <c r="G9" s="26">
        <v>57</v>
      </c>
      <c r="H9" s="166">
        <v>62</v>
      </c>
      <c r="I9" s="26">
        <v>12</v>
      </c>
      <c r="J9" s="1">
        <v>11</v>
      </c>
      <c r="K9" s="26">
        <v>11</v>
      </c>
      <c r="L9">
        <f t="shared" si="0"/>
        <v>258</v>
      </c>
    </row>
    <row r="10" spans="1:13">
      <c r="A10" s="180" t="s">
        <v>38</v>
      </c>
      <c r="B10" s="191" t="s">
        <v>39</v>
      </c>
      <c r="C10" s="5" t="s">
        <v>40</v>
      </c>
      <c r="D10" s="1">
        <v>49</v>
      </c>
      <c r="E10" s="15">
        <v>46</v>
      </c>
      <c r="F10" s="26">
        <v>75</v>
      </c>
      <c r="G10" s="26">
        <v>78</v>
      </c>
      <c r="H10" s="10">
        <v>64</v>
      </c>
      <c r="I10" s="26">
        <v>0</v>
      </c>
      <c r="J10" s="1">
        <v>12</v>
      </c>
      <c r="K10" s="26">
        <v>11</v>
      </c>
      <c r="L10">
        <f t="shared" si="0"/>
        <v>335</v>
      </c>
    </row>
    <row r="11" spans="1:13">
      <c r="A11" s="181"/>
      <c r="B11" s="192"/>
      <c r="C11" s="1" t="s">
        <v>22</v>
      </c>
      <c r="D11" s="1">
        <v>50</v>
      </c>
      <c r="E11" s="15">
        <v>49</v>
      </c>
      <c r="F11" s="26">
        <v>69</v>
      </c>
      <c r="G11" s="26">
        <v>78</v>
      </c>
      <c r="H11" s="10">
        <v>79</v>
      </c>
      <c r="I11" s="26">
        <v>18</v>
      </c>
      <c r="J11" s="1">
        <v>15</v>
      </c>
      <c r="K11" s="26">
        <v>12</v>
      </c>
      <c r="L11">
        <f t="shared" si="0"/>
        <v>370</v>
      </c>
    </row>
    <row r="12" spans="1:13">
      <c r="A12" s="181"/>
      <c r="B12" s="192"/>
      <c r="C12" s="1" t="s">
        <v>47</v>
      </c>
      <c r="D12" s="1">
        <v>49</v>
      </c>
      <c r="E12" s="15">
        <v>39</v>
      </c>
      <c r="F12" s="26">
        <v>64</v>
      </c>
      <c r="G12" s="26">
        <v>73</v>
      </c>
      <c r="H12" s="10">
        <v>72</v>
      </c>
      <c r="I12" s="26">
        <v>11</v>
      </c>
      <c r="J12" s="1">
        <v>15</v>
      </c>
      <c r="K12" s="26">
        <v>11</v>
      </c>
      <c r="L12">
        <f t="shared" si="0"/>
        <v>334</v>
      </c>
    </row>
    <row r="13" spans="1:13" ht="14.5" thickBot="1">
      <c r="A13" s="182"/>
      <c r="B13" s="193"/>
      <c r="C13" s="11" t="s">
        <v>50</v>
      </c>
      <c r="D13" s="1">
        <v>52</v>
      </c>
      <c r="E13" s="15">
        <v>43</v>
      </c>
      <c r="F13" s="26">
        <v>69</v>
      </c>
      <c r="G13" s="26">
        <v>74</v>
      </c>
      <c r="H13" s="10">
        <v>78</v>
      </c>
      <c r="I13" s="26">
        <v>10</v>
      </c>
      <c r="J13" s="1">
        <v>12</v>
      </c>
      <c r="K13" s="26">
        <v>10</v>
      </c>
      <c r="L13">
        <f t="shared" si="0"/>
        <v>348</v>
      </c>
    </row>
    <row r="14" spans="1:13">
      <c r="A14" s="180" t="s">
        <v>52</v>
      </c>
      <c r="B14" s="194" t="s">
        <v>53</v>
      </c>
      <c r="C14" s="5" t="s">
        <v>54</v>
      </c>
      <c r="D14" s="1">
        <v>68</v>
      </c>
      <c r="E14" s="15">
        <v>11</v>
      </c>
      <c r="F14" s="26">
        <v>69</v>
      </c>
      <c r="G14" s="26">
        <v>76</v>
      </c>
      <c r="H14" s="10">
        <v>57</v>
      </c>
      <c r="I14" s="26">
        <v>13</v>
      </c>
      <c r="J14" s="1">
        <v>12</v>
      </c>
      <c r="K14" s="26">
        <v>9</v>
      </c>
      <c r="L14">
        <f t="shared" si="0"/>
        <v>315</v>
      </c>
    </row>
    <row r="15" spans="1:13">
      <c r="A15" s="181"/>
      <c r="B15" s="195"/>
      <c r="C15" s="1" t="s">
        <v>58</v>
      </c>
      <c r="D15" s="1">
        <v>17</v>
      </c>
      <c r="E15" s="15">
        <v>41</v>
      </c>
      <c r="F15" s="26">
        <v>39</v>
      </c>
      <c r="G15" s="26">
        <v>50</v>
      </c>
      <c r="H15" s="10">
        <v>82</v>
      </c>
      <c r="I15" s="26">
        <v>15</v>
      </c>
      <c r="J15" s="1">
        <v>16</v>
      </c>
      <c r="K15" s="26">
        <v>10</v>
      </c>
      <c r="L15">
        <f t="shared" si="0"/>
        <v>270</v>
      </c>
    </row>
    <row r="16" spans="1:13">
      <c r="A16" s="181"/>
      <c r="B16" s="195"/>
      <c r="C16" s="1" t="s">
        <v>62</v>
      </c>
      <c r="D16" s="1">
        <v>51</v>
      </c>
      <c r="E16" s="15">
        <v>3</v>
      </c>
      <c r="F16" s="26">
        <v>50</v>
      </c>
      <c r="G16" s="26">
        <v>60</v>
      </c>
      <c r="H16" s="10">
        <v>59</v>
      </c>
      <c r="I16" s="26">
        <v>16</v>
      </c>
      <c r="J16" s="1">
        <v>18</v>
      </c>
      <c r="K16" s="26">
        <v>9</v>
      </c>
      <c r="L16">
        <f t="shared" si="0"/>
        <v>266</v>
      </c>
    </row>
    <row r="17" spans="1:12" ht="14.5" thickBot="1">
      <c r="A17" s="182"/>
      <c r="B17" s="196"/>
      <c r="C17" s="20" t="s">
        <v>65</v>
      </c>
      <c r="D17" s="1">
        <v>61</v>
      </c>
      <c r="E17" s="15">
        <v>1</v>
      </c>
      <c r="F17" s="26">
        <v>68</v>
      </c>
      <c r="G17" s="26">
        <v>81</v>
      </c>
      <c r="H17" s="10">
        <v>80</v>
      </c>
      <c r="I17" s="26">
        <v>8</v>
      </c>
      <c r="J17" s="1">
        <v>9</v>
      </c>
      <c r="K17" s="26">
        <v>7</v>
      </c>
      <c r="L17">
        <f t="shared" si="0"/>
        <v>315</v>
      </c>
    </row>
    <row r="18" spans="1:12">
      <c r="A18" s="180" t="s">
        <v>68</v>
      </c>
      <c r="B18" s="191" t="s">
        <v>69</v>
      </c>
      <c r="C18" s="5" t="s">
        <v>70</v>
      </c>
      <c r="D18" s="1">
        <v>56</v>
      </c>
      <c r="E18" s="15">
        <v>5</v>
      </c>
      <c r="F18" s="26">
        <v>83</v>
      </c>
      <c r="G18" s="26">
        <v>94</v>
      </c>
      <c r="H18" s="10">
        <v>77</v>
      </c>
      <c r="I18" s="26">
        <v>15</v>
      </c>
      <c r="J18" s="1">
        <v>10</v>
      </c>
      <c r="K18" s="26">
        <v>18</v>
      </c>
      <c r="L18">
        <f t="shared" si="0"/>
        <v>358</v>
      </c>
    </row>
    <row r="19" spans="1:12">
      <c r="A19" s="181"/>
      <c r="B19" s="192"/>
      <c r="C19" s="1" t="s">
        <v>72</v>
      </c>
      <c r="D19" s="1">
        <v>57</v>
      </c>
      <c r="E19" s="15">
        <v>0</v>
      </c>
      <c r="F19" s="26">
        <v>101</v>
      </c>
      <c r="G19" s="26">
        <v>65</v>
      </c>
      <c r="H19" s="10">
        <v>101</v>
      </c>
      <c r="I19" s="26">
        <v>12</v>
      </c>
      <c r="J19" s="1">
        <v>11</v>
      </c>
      <c r="K19" s="26">
        <v>11</v>
      </c>
      <c r="L19">
        <f t="shared" si="0"/>
        <v>358</v>
      </c>
    </row>
    <row r="20" spans="1:12">
      <c r="A20" s="181"/>
      <c r="B20" s="192"/>
      <c r="C20" s="1" t="s">
        <v>75</v>
      </c>
      <c r="D20" s="1">
        <v>72</v>
      </c>
      <c r="E20" s="15">
        <v>23</v>
      </c>
      <c r="F20" s="26">
        <v>99</v>
      </c>
      <c r="G20" s="26">
        <v>61</v>
      </c>
      <c r="H20" s="10">
        <v>97</v>
      </c>
      <c r="I20" s="26">
        <v>15</v>
      </c>
      <c r="J20" s="1">
        <v>14</v>
      </c>
      <c r="K20" s="26">
        <v>18</v>
      </c>
      <c r="L20">
        <f t="shared" si="0"/>
        <v>399</v>
      </c>
    </row>
    <row r="21" spans="1:12" ht="14.5" thickBot="1">
      <c r="A21" s="182"/>
      <c r="B21" s="192"/>
      <c r="C21" s="2" t="s">
        <v>78</v>
      </c>
      <c r="D21" s="1">
        <v>77</v>
      </c>
      <c r="E21" s="15">
        <v>13</v>
      </c>
      <c r="F21" s="26">
        <v>61</v>
      </c>
      <c r="G21" s="26">
        <v>108</v>
      </c>
      <c r="H21" s="10">
        <v>100</v>
      </c>
      <c r="I21" s="26">
        <v>18</v>
      </c>
      <c r="J21" s="1">
        <v>13</v>
      </c>
      <c r="K21" s="26">
        <v>24</v>
      </c>
      <c r="L21">
        <f t="shared" si="0"/>
        <v>414</v>
      </c>
    </row>
    <row r="22" spans="1:12">
      <c r="A22" s="180" t="s">
        <v>81</v>
      </c>
      <c r="B22" s="197" t="s">
        <v>82</v>
      </c>
      <c r="C22" s="1" t="s">
        <v>83</v>
      </c>
      <c r="D22" s="1">
        <v>64</v>
      </c>
      <c r="E22" s="159">
        <v>39</v>
      </c>
      <c r="F22" s="26">
        <v>64</v>
      </c>
      <c r="G22" s="26">
        <v>80</v>
      </c>
      <c r="H22" s="10">
        <v>60</v>
      </c>
      <c r="I22" s="26">
        <v>12</v>
      </c>
      <c r="J22" s="1">
        <v>12</v>
      </c>
      <c r="K22" s="26">
        <v>14</v>
      </c>
      <c r="L22">
        <f t="shared" si="0"/>
        <v>345</v>
      </c>
    </row>
    <row r="23" spans="1:12">
      <c r="A23" s="181"/>
      <c r="B23" s="192"/>
      <c r="C23" s="1" t="s">
        <v>86</v>
      </c>
      <c r="D23" s="1">
        <v>46</v>
      </c>
      <c r="E23" s="15">
        <v>43</v>
      </c>
      <c r="F23" s="26">
        <v>55</v>
      </c>
      <c r="G23" s="26">
        <v>83</v>
      </c>
      <c r="H23" s="10">
        <v>59</v>
      </c>
      <c r="I23" s="26">
        <v>12</v>
      </c>
      <c r="J23" s="1">
        <v>14</v>
      </c>
      <c r="K23" s="26">
        <v>11</v>
      </c>
      <c r="L23">
        <f t="shared" si="0"/>
        <v>323</v>
      </c>
    </row>
    <row r="24" spans="1:12">
      <c r="A24" s="181"/>
      <c r="B24" s="192"/>
      <c r="C24" s="1" t="s">
        <v>89</v>
      </c>
      <c r="D24" s="1">
        <v>72</v>
      </c>
      <c r="E24" s="15">
        <v>46</v>
      </c>
      <c r="F24" s="26">
        <v>74</v>
      </c>
      <c r="G24" s="26">
        <v>79</v>
      </c>
      <c r="H24" s="10">
        <v>59</v>
      </c>
      <c r="I24" s="26">
        <v>11</v>
      </c>
      <c r="J24" s="1">
        <v>12</v>
      </c>
      <c r="K24" s="26">
        <v>13</v>
      </c>
      <c r="L24">
        <f t="shared" si="0"/>
        <v>366</v>
      </c>
    </row>
    <row r="25" spans="1:12" ht="14.5" thickBot="1">
      <c r="A25" s="182"/>
      <c r="B25" s="198"/>
      <c r="C25" s="1" t="s">
        <v>93</v>
      </c>
      <c r="D25" s="1">
        <v>77</v>
      </c>
      <c r="E25" s="15">
        <v>50</v>
      </c>
      <c r="F25" s="26">
        <v>86</v>
      </c>
      <c r="G25" s="26">
        <v>92</v>
      </c>
      <c r="H25" s="10">
        <v>71</v>
      </c>
      <c r="I25" s="26">
        <v>12</v>
      </c>
      <c r="J25" s="1">
        <v>21</v>
      </c>
      <c r="K25" s="26">
        <v>18</v>
      </c>
      <c r="L25">
        <f t="shared" si="0"/>
        <v>427</v>
      </c>
    </row>
    <row r="26" spans="1:12">
      <c r="D26" s="135">
        <f>SUM(D2:D25)</f>
        <v>1259</v>
      </c>
      <c r="E26" s="135">
        <f t="shared" ref="E26:J26" si="1">SUM(E2:E25)</f>
        <v>628</v>
      </c>
      <c r="F26" s="135">
        <f t="shared" si="1"/>
        <v>1655</v>
      </c>
      <c r="G26" s="41">
        <f t="shared" si="1"/>
        <v>1652</v>
      </c>
      <c r="H26" s="167">
        <f t="shared" si="1"/>
        <v>1696</v>
      </c>
      <c r="I26" s="1">
        <f t="shared" si="1"/>
        <v>290</v>
      </c>
      <c r="J26" s="1">
        <f t="shared" si="1"/>
        <v>312</v>
      </c>
      <c r="K26" s="1">
        <f>SUM(K2:K25)</f>
        <v>290</v>
      </c>
      <c r="L26" s="175">
        <f>SUM(L2:L25)</f>
        <v>7782</v>
      </c>
    </row>
  </sheetData>
  <mergeCells count="12">
    <mergeCell ref="A2:A5"/>
    <mergeCell ref="B2:B5"/>
    <mergeCell ref="A6:A9"/>
    <mergeCell ref="B6:B9"/>
    <mergeCell ref="A10:A13"/>
    <mergeCell ref="B10:B13"/>
    <mergeCell ref="A14:A17"/>
    <mergeCell ref="B14:B17"/>
    <mergeCell ref="A18:A21"/>
    <mergeCell ref="B18:B21"/>
    <mergeCell ref="A22:A25"/>
    <mergeCell ref="B22:B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22"/>
  <sheetViews>
    <sheetView workbookViewId="0">
      <selection activeCell="D7" sqref="D7"/>
    </sheetView>
  </sheetViews>
  <sheetFormatPr baseColWidth="10" defaultRowHeight="14"/>
  <cols>
    <col min="8" max="8" width="20.33203125" customWidth="1"/>
  </cols>
  <sheetData>
    <row r="4" spans="2:12">
      <c r="B4" s="169" t="s">
        <v>122</v>
      </c>
      <c r="C4" s="41" t="s">
        <v>97</v>
      </c>
      <c r="D4" s="41" t="s">
        <v>145</v>
      </c>
      <c r="E4" s="41" t="s">
        <v>146</v>
      </c>
      <c r="F4" s="41" t="s">
        <v>147</v>
      </c>
      <c r="G4" s="41" t="s">
        <v>148</v>
      </c>
      <c r="H4" s="41" t="s">
        <v>160</v>
      </c>
      <c r="I4" s="41" t="s">
        <v>149</v>
      </c>
    </row>
    <row r="5" spans="2:12">
      <c r="B5" s="1" t="s">
        <v>150</v>
      </c>
      <c r="C5" s="1">
        <v>259</v>
      </c>
      <c r="D5" s="1">
        <v>178</v>
      </c>
      <c r="E5" s="1">
        <v>279</v>
      </c>
      <c r="F5" s="1">
        <v>334</v>
      </c>
      <c r="G5" s="1">
        <v>249</v>
      </c>
      <c r="H5" s="1">
        <v>162</v>
      </c>
      <c r="I5" s="41">
        <f t="shared" ref="I5:I11" si="0">SUM(C5:H5)</f>
        <v>1461</v>
      </c>
    </row>
    <row r="6" spans="2:12">
      <c r="B6" s="1" t="s">
        <v>151</v>
      </c>
      <c r="C6" s="1">
        <v>262</v>
      </c>
      <c r="D6" s="1">
        <v>41</v>
      </c>
      <c r="E6" s="1">
        <v>344</v>
      </c>
      <c r="F6" s="1">
        <v>328</v>
      </c>
      <c r="G6" s="1">
        <v>375</v>
      </c>
      <c r="H6" s="1">
        <v>179</v>
      </c>
      <c r="I6" s="41">
        <f t="shared" si="0"/>
        <v>1529</v>
      </c>
    </row>
    <row r="7" spans="2:12">
      <c r="B7" s="1" t="s">
        <v>152</v>
      </c>
      <c r="C7" s="1">
        <v>200</v>
      </c>
      <c r="D7" s="1">
        <v>177</v>
      </c>
      <c r="E7" s="1">
        <v>277</v>
      </c>
      <c r="F7" s="1">
        <v>303</v>
      </c>
      <c r="G7" s="1">
        <v>293</v>
      </c>
      <c r="H7" s="1">
        <v>171</v>
      </c>
      <c r="I7" s="41">
        <f t="shared" si="0"/>
        <v>1421</v>
      </c>
    </row>
    <row r="8" spans="2:12">
      <c r="B8" s="1" t="s">
        <v>153</v>
      </c>
      <c r="C8" s="1">
        <v>197</v>
      </c>
      <c r="D8" s="1">
        <v>56</v>
      </c>
      <c r="E8" s="1">
        <v>226</v>
      </c>
      <c r="F8" s="1">
        <v>267</v>
      </c>
      <c r="G8" s="1">
        <v>278</v>
      </c>
      <c r="H8" s="1">
        <v>142</v>
      </c>
      <c r="I8" s="41">
        <f t="shared" si="0"/>
        <v>1166</v>
      </c>
    </row>
    <row r="9" spans="2:12">
      <c r="B9" s="1" t="s">
        <v>154</v>
      </c>
      <c r="C9" s="1">
        <v>211</v>
      </c>
      <c r="D9" s="1">
        <v>137</v>
      </c>
      <c r="E9" s="1">
        <v>269</v>
      </c>
      <c r="F9" s="1">
        <v>171</v>
      </c>
      <c r="G9" s="1">
        <v>259</v>
      </c>
      <c r="H9" s="1">
        <v>135</v>
      </c>
      <c r="I9" s="41">
        <f t="shared" si="0"/>
        <v>1182</v>
      </c>
    </row>
    <row r="10" spans="2:12">
      <c r="B10" s="1" t="s">
        <v>155</v>
      </c>
      <c r="C10" s="1">
        <v>130</v>
      </c>
      <c r="D10" s="1">
        <v>39</v>
      </c>
      <c r="E10" s="1">
        <v>260</v>
      </c>
      <c r="F10" s="1">
        <v>249</v>
      </c>
      <c r="G10" s="1">
        <v>242</v>
      </c>
      <c r="H10" s="1">
        <v>137</v>
      </c>
      <c r="I10" s="41">
        <f t="shared" si="0"/>
        <v>1057</v>
      </c>
    </row>
    <row r="11" spans="2:12">
      <c r="B11" s="1" t="s">
        <v>149</v>
      </c>
      <c r="C11" s="1">
        <f>SUM(C5:C10)</f>
        <v>1259</v>
      </c>
      <c r="D11" s="1">
        <f t="shared" ref="D11:G11" si="1">SUM(D5:D10)</f>
        <v>628</v>
      </c>
      <c r="E11" s="1">
        <f t="shared" si="1"/>
        <v>1655</v>
      </c>
      <c r="F11" s="1">
        <f t="shared" si="1"/>
        <v>1652</v>
      </c>
      <c r="G11" s="1">
        <f t="shared" si="1"/>
        <v>1696</v>
      </c>
      <c r="H11" s="1">
        <f>SUM(H5:H10)</f>
        <v>926</v>
      </c>
      <c r="I11" s="41">
        <f t="shared" si="0"/>
        <v>7816</v>
      </c>
    </row>
    <row r="12" spans="2:12">
      <c r="L12" t="s">
        <v>159</v>
      </c>
    </row>
    <row r="15" spans="2:12">
      <c r="B15" s="169" t="s">
        <v>122</v>
      </c>
      <c r="C15" s="41" t="s">
        <v>156</v>
      </c>
      <c r="D15" s="41" t="s">
        <v>157</v>
      </c>
      <c r="E15" s="41" t="s">
        <v>158</v>
      </c>
    </row>
    <row r="16" spans="2:12">
      <c r="B16" s="1" t="s">
        <v>150</v>
      </c>
      <c r="C16" s="41">
        <v>1461</v>
      </c>
      <c r="D16" s="26">
        <v>1320</v>
      </c>
      <c r="E16" s="172">
        <f>C16/D16</f>
        <v>1.1068181818181819</v>
      </c>
    </row>
    <row r="17" spans="2:9">
      <c r="B17" s="1" t="s">
        <v>151</v>
      </c>
      <c r="C17" s="41">
        <v>1529</v>
      </c>
      <c r="D17" s="26">
        <v>1320</v>
      </c>
      <c r="E17" s="172">
        <f t="shared" ref="E17:E22" si="2">C17/D17</f>
        <v>1.1583333333333334</v>
      </c>
    </row>
    <row r="18" spans="2:9">
      <c r="B18" s="1" t="s">
        <v>152</v>
      </c>
      <c r="C18" s="41">
        <v>1421</v>
      </c>
      <c r="D18" s="26">
        <v>1320</v>
      </c>
      <c r="E18" s="172">
        <f t="shared" si="2"/>
        <v>1.0765151515151514</v>
      </c>
    </row>
    <row r="19" spans="2:9">
      <c r="B19" s="1" t="s">
        <v>153</v>
      </c>
      <c r="C19" s="41">
        <v>1166</v>
      </c>
      <c r="D19" s="26">
        <v>1320</v>
      </c>
      <c r="E19" s="170">
        <f t="shared" si="2"/>
        <v>0.8833333333333333</v>
      </c>
    </row>
    <row r="20" spans="2:9">
      <c r="B20" s="1" t="s">
        <v>154</v>
      </c>
      <c r="C20" s="41">
        <v>1182</v>
      </c>
      <c r="D20" s="26">
        <v>1320</v>
      </c>
      <c r="E20" s="170">
        <f t="shared" si="2"/>
        <v>0.8954545454545455</v>
      </c>
    </row>
    <row r="21" spans="2:9">
      <c r="B21" s="1" t="s">
        <v>155</v>
      </c>
      <c r="C21" s="41">
        <v>1057</v>
      </c>
      <c r="D21" s="26">
        <v>1320</v>
      </c>
      <c r="E21" s="170">
        <f t="shared" si="2"/>
        <v>0.80075757575757578</v>
      </c>
    </row>
    <row r="22" spans="2:9">
      <c r="B22" s="1" t="s">
        <v>149</v>
      </c>
      <c r="C22" s="27">
        <v>6890</v>
      </c>
      <c r="D22" s="173">
        <f>SUM(D16:D21)</f>
        <v>7920</v>
      </c>
      <c r="E22" s="174">
        <f t="shared" si="2"/>
        <v>0.86994949494949492</v>
      </c>
      <c r="H22" s="171" t="s">
        <v>161</v>
      </c>
      <c r="I22" s="16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topLeftCell="K7" workbookViewId="0">
      <selection activeCell="V33" sqref="V33"/>
    </sheetView>
  </sheetViews>
  <sheetFormatPr baseColWidth="10" defaultRowHeight="14"/>
  <cols>
    <col min="2" max="2" width="16.4140625" customWidth="1"/>
    <col min="3" max="3" width="22.4140625" customWidth="1"/>
    <col min="4" max="4" width="10.9140625" customWidth="1"/>
    <col min="5" max="5" width="15.5" customWidth="1"/>
    <col min="6" max="6" width="11.5" style="25" customWidth="1"/>
    <col min="7" max="7" width="5.6640625" style="25" customWidth="1"/>
    <col min="8" max="8" width="10.9140625" style="25" customWidth="1"/>
    <col min="9" max="9" width="13.4140625" style="25" customWidth="1"/>
    <col min="10" max="10" width="19.33203125" style="25" customWidth="1"/>
    <col min="11" max="11" width="30.9140625" style="25" customWidth="1"/>
    <col min="12" max="12" width="2.75" customWidth="1"/>
    <col min="13" max="14" width="10.9140625" customWidth="1"/>
    <col min="15" max="15" width="13.4140625" customWidth="1"/>
    <col min="16" max="16" width="19.33203125" customWidth="1"/>
    <col min="17" max="17" width="21.5" customWidth="1"/>
    <col min="18" max="18" width="4.5" customWidth="1"/>
    <col min="19" max="19" width="11.4140625" bestFit="1" customWidth="1"/>
    <col min="20" max="20" width="4.75" customWidth="1"/>
    <col min="21" max="21" width="19.83203125" bestFit="1" customWidth="1"/>
    <col min="22" max="22" width="15.4140625" customWidth="1"/>
  </cols>
  <sheetData>
    <row r="1" spans="1:22" ht="56">
      <c r="G1" s="201" t="s">
        <v>105</v>
      </c>
      <c r="H1" s="201"/>
      <c r="I1" s="201"/>
      <c r="J1" s="201"/>
      <c r="K1" s="201"/>
      <c r="L1" s="80"/>
      <c r="M1" s="201" t="s">
        <v>106</v>
      </c>
      <c r="N1" s="201"/>
      <c r="O1" s="201"/>
      <c r="P1" s="201"/>
      <c r="Q1" s="201"/>
      <c r="R1" s="81"/>
      <c r="S1" s="82" t="s">
        <v>107</v>
      </c>
      <c r="T1" s="80"/>
      <c r="U1" s="83" t="s">
        <v>120</v>
      </c>
      <c r="V1" s="59" t="s">
        <v>121</v>
      </c>
    </row>
    <row r="2" spans="1:22" ht="28.5" thickBot="1">
      <c r="B2" s="1" t="s">
        <v>0</v>
      </c>
      <c r="C2" s="2" t="s">
        <v>1</v>
      </c>
      <c r="D2" s="2" t="s">
        <v>2</v>
      </c>
      <c r="E2" s="3" t="s">
        <v>3</v>
      </c>
      <c r="F2" s="4" t="s">
        <v>4</v>
      </c>
      <c r="G2" s="26" t="s">
        <v>5</v>
      </c>
      <c r="H2" s="26" t="s">
        <v>101</v>
      </c>
      <c r="I2" s="26" t="s">
        <v>102</v>
      </c>
      <c r="J2" s="26" t="s">
        <v>129</v>
      </c>
      <c r="K2" s="48" t="s">
        <v>98</v>
      </c>
      <c r="L2" s="37"/>
      <c r="M2" s="26" t="s">
        <v>5</v>
      </c>
      <c r="N2" s="26" t="s">
        <v>101</v>
      </c>
      <c r="O2" s="26" t="s">
        <v>102</v>
      </c>
      <c r="P2" s="26" t="s">
        <v>100</v>
      </c>
      <c r="Q2" s="48" t="s">
        <v>98</v>
      </c>
      <c r="R2" s="44"/>
      <c r="S2" s="49" t="s">
        <v>108</v>
      </c>
      <c r="T2" s="37"/>
      <c r="U2" s="1"/>
      <c r="V2" s="1"/>
    </row>
    <row r="3" spans="1:22">
      <c r="A3" s="186" t="s">
        <v>7</v>
      </c>
      <c r="B3" s="202" t="s">
        <v>8</v>
      </c>
      <c r="C3" s="5" t="s">
        <v>9</v>
      </c>
      <c r="D3" s="6" t="s">
        <v>10</v>
      </c>
      <c r="E3" s="7" t="s">
        <v>11</v>
      </c>
      <c r="F3" s="8">
        <v>775810336</v>
      </c>
      <c r="G3" s="26">
        <v>33</v>
      </c>
      <c r="H3" s="26">
        <v>30</v>
      </c>
      <c r="I3" s="31">
        <f>G3/H3</f>
        <v>1.1000000000000001</v>
      </c>
      <c r="J3" s="84">
        <v>25000</v>
      </c>
      <c r="K3" s="43">
        <f>J3</f>
        <v>25000</v>
      </c>
      <c r="L3" s="37"/>
      <c r="M3" s="26">
        <v>55</v>
      </c>
      <c r="N3" s="26">
        <v>30</v>
      </c>
      <c r="O3" s="31">
        <f>M3/N3</f>
        <v>1.8333333333333333</v>
      </c>
      <c r="P3" s="84">
        <v>12500</v>
      </c>
      <c r="Q3" s="43">
        <f>P3</f>
        <v>12500</v>
      </c>
      <c r="R3" s="44"/>
      <c r="S3" s="45">
        <f>Q3+K3</f>
        <v>37500</v>
      </c>
      <c r="T3" s="37"/>
      <c r="U3" s="1"/>
      <c r="V3" s="1"/>
    </row>
    <row r="4" spans="1:22">
      <c r="A4" s="187"/>
      <c r="B4" s="202"/>
      <c r="C4" s="1" t="s">
        <v>12</v>
      </c>
      <c r="D4" s="1" t="s">
        <v>13</v>
      </c>
      <c r="E4" s="9" t="s">
        <v>14</v>
      </c>
      <c r="F4" s="10">
        <v>772107591</v>
      </c>
      <c r="G4" s="26">
        <v>31</v>
      </c>
      <c r="H4" s="26">
        <v>30</v>
      </c>
      <c r="I4" s="31">
        <f>G4/H4</f>
        <v>1.0333333333333334</v>
      </c>
      <c r="J4" s="84">
        <v>25000</v>
      </c>
      <c r="K4" s="43">
        <f t="shared" ref="K4:K6" si="0">J4</f>
        <v>25000</v>
      </c>
      <c r="L4" s="37"/>
      <c r="M4" s="26">
        <v>30</v>
      </c>
      <c r="N4" s="26">
        <v>30</v>
      </c>
      <c r="O4" s="31">
        <f>M4/N4</f>
        <v>1</v>
      </c>
      <c r="P4" s="84">
        <v>12500</v>
      </c>
      <c r="Q4" s="43">
        <f>P4</f>
        <v>12500</v>
      </c>
      <c r="R4" s="44"/>
      <c r="S4" s="45">
        <f>Q4+K4</f>
        <v>37500</v>
      </c>
      <c r="T4" s="37"/>
      <c r="U4" s="1"/>
      <c r="V4" s="1"/>
    </row>
    <row r="5" spans="1:22">
      <c r="A5" s="187"/>
      <c r="B5" s="202"/>
      <c r="C5" s="1" t="s">
        <v>15</v>
      </c>
      <c r="D5" s="1" t="s">
        <v>16</v>
      </c>
      <c r="E5" s="9" t="s">
        <v>17</v>
      </c>
      <c r="F5" s="10">
        <v>772104981</v>
      </c>
      <c r="G5" s="26">
        <v>42</v>
      </c>
      <c r="H5" s="26">
        <v>30</v>
      </c>
      <c r="I5" s="31">
        <f>G5/H5</f>
        <v>1.4</v>
      </c>
      <c r="J5" s="84">
        <v>25000</v>
      </c>
      <c r="K5" s="43">
        <f t="shared" si="0"/>
        <v>25000</v>
      </c>
      <c r="L5" s="37"/>
      <c r="M5" s="26">
        <v>55</v>
      </c>
      <c r="N5" s="26">
        <v>30</v>
      </c>
      <c r="O5" s="31">
        <f>M5/N5</f>
        <v>1.8333333333333333</v>
      </c>
      <c r="P5" s="84">
        <v>12500</v>
      </c>
      <c r="Q5" s="43">
        <f>P5</f>
        <v>12500</v>
      </c>
      <c r="R5" s="44"/>
      <c r="S5" s="45">
        <f>Q5+K5</f>
        <v>37500</v>
      </c>
      <c r="T5" s="37"/>
      <c r="U5" s="1"/>
      <c r="V5" s="1"/>
    </row>
    <row r="6" spans="1:22" ht="14.5" thickBot="1">
      <c r="A6" s="188"/>
      <c r="B6" s="203"/>
      <c r="C6" s="11" t="s">
        <v>15</v>
      </c>
      <c r="D6" s="11" t="s">
        <v>18</v>
      </c>
      <c r="E6" s="12" t="s">
        <v>19</v>
      </c>
      <c r="F6" s="13">
        <v>778525987</v>
      </c>
      <c r="G6" s="26">
        <v>32</v>
      </c>
      <c r="H6" s="26">
        <v>30</v>
      </c>
      <c r="I6" s="31">
        <f>G6/H6</f>
        <v>1.0666666666666667</v>
      </c>
      <c r="J6" s="84">
        <v>25000</v>
      </c>
      <c r="K6" s="43">
        <f t="shared" si="0"/>
        <v>25000</v>
      </c>
      <c r="L6" s="37"/>
      <c r="M6" s="26">
        <v>35</v>
      </c>
      <c r="N6" s="26">
        <v>30</v>
      </c>
      <c r="O6" s="31">
        <f>M6/N6</f>
        <v>1.1666666666666667</v>
      </c>
      <c r="P6" s="84">
        <v>12500</v>
      </c>
      <c r="Q6" s="43">
        <f>P6</f>
        <v>12500</v>
      </c>
      <c r="R6" s="44"/>
      <c r="S6" s="45">
        <f>Q6+K6</f>
        <v>37500</v>
      </c>
      <c r="T6" s="37"/>
      <c r="U6" s="1"/>
      <c r="V6" s="1"/>
    </row>
    <row r="7" spans="1:22" ht="28.5" thickBot="1">
      <c r="A7" s="63" t="s">
        <v>7</v>
      </c>
      <c r="B7" s="64" t="s">
        <v>110</v>
      </c>
      <c r="C7" s="74"/>
      <c r="D7" s="74"/>
      <c r="E7" s="76"/>
      <c r="F7" s="75"/>
      <c r="G7" s="62"/>
      <c r="H7" s="62"/>
      <c r="I7" s="67"/>
      <c r="J7" s="69"/>
      <c r="K7" s="69">
        <f>SUM(K3:K6)</f>
        <v>100000</v>
      </c>
      <c r="L7" s="68"/>
      <c r="M7" s="62"/>
      <c r="N7" s="62"/>
      <c r="O7" s="67"/>
      <c r="P7" s="69"/>
      <c r="Q7" s="69">
        <f>SUM(Q3:Q6)</f>
        <v>50000</v>
      </c>
      <c r="R7" s="44"/>
      <c r="S7" s="70">
        <f>Q7+K7</f>
        <v>150000</v>
      </c>
      <c r="T7" s="37"/>
      <c r="U7" s="60">
        <v>37500</v>
      </c>
      <c r="V7" s="78">
        <f>S7+U7</f>
        <v>187500</v>
      </c>
    </row>
    <row r="8" spans="1:22">
      <c r="A8" s="180" t="s">
        <v>20</v>
      </c>
      <c r="B8" s="204" t="s">
        <v>21</v>
      </c>
      <c r="C8" s="5" t="s">
        <v>22</v>
      </c>
      <c r="D8" s="5" t="s">
        <v>23</v>
      </c>
      <c r="E8" s="7" t="s">
        <v>24</v>
      </c>
      <c r="F8" s="14" t="s">
        <v>25</v>
      </c>
      <c r="G8" s="26">
        <v>10</v>
      </c>
      <c r="H8" s="26">
        <v>30</v>
      </c>
      <c r="I8" s="32">
        <f>G8/H8</f>
        <v>0.33333333333333331</v>
      </c>
      <c r="J8" s="84">
        <v>25000</v>
      </c>
      <c r="K8" s="46">
        <f>+J8*I8</f>
        <v>8333.3333333333321</v>
      </c>
      <c r="L8" s="37"/>
      <c r="M8" s="26">
        <v>27</v>
      </c>
      <c r="N8" s="26">
        <v>30</v>
      </c>
      <c r="O8" s="32">
        <f>M8/N8</f>
        <v>0.9</v>
      </c>
      <c r="P8" s="84">
        <v>12500</v>
      </c>
      <c r="Q8" s="46">
        <f>O8*P8</f>
        <v>11250</v>
      </c>
      <c r="R8" s="44"/>
      <c r="S8" s="45">
        <f t="shared" ref="S8:S31" si="1">Q8+K8</f>
        <v>19583.333333333332</v>
      </c>
      <c r="T8" s="37"/>
      <c r="U8" s="1"/>
      <c r="V8" s="1"/>
    </row>
    <row r="9" spans="1:22">
      <c r="A9" s="181"/>
      <c r="B9" s="205"/>
      <c r="C9" s="1" t="s">
        <v>26</v>
      </c>
      <c r="D9" s="1" t="s">
        <v>27</v>
      </c>
      <c r="E9" t="s">
        <v>28</v>
      </c>
      <c r="F9" s="15" t="s">
        <v>29</v>
      </c>
      <c r="G9" s="26">
        <v>15</v>
      </c>
      <c r="H9" s="26">
        <v>30</v>
      </c>
      <c r="I9" s="32">
        <f>G9/H9</f>
        <v>0.5</v>
      </c>
      <c r="J9" s="84">
        <v>25000</v>
      </c>
      <c r="K9" s="46">
        <f t="shared" ref="K9:K11" si="2">+J9*I9</f>
        <v>12500</v>
      </c>
      <c r="L9" s="37"/>
      <c r="M9" s="26">
        <v>30</v>
      </c>
      <c r="N9" s="26">
        <v>30</v>
      </c>
      <c r="O9" s="39">
        <f>M9/N9</f>
        <v>1</v>
      </c>
      <c r="P9" s="84">
        <v>12500</v>
      </c>
      <c r="Q9" s="43">
        <f>P9</f>
        <v>12500</v>
      </c>
      <c r="R9" s="44"/>
      <c r="S9" s="45">
        <f t="shared" si="1"/>
        <v>25000</v>
      </c>
      <c r="T9" s="37"/>
      <c r="U9" s="1"/>
      <c r="V9" s="1"/>
    </row>
    <row r="10" spans="1:22">
      <c r="A10" s="181"/>
      <c r="B10" s="205"/>
      <c r="C10" s="1" t="s">
        <v>30</v>
      </c>
      <c r="D10" s="1" t="s">
        <v>31</v>
      </c>
      <c r="E10" s="9" t="s">
        <v>32</v>
      </c>
      <c r="F10" s="15" t="s">
        <v>33</v>
      </c>
      <c r="G10" s="26">
        <v>12</v>
      </c>
      <c r="H10" s="26">
        <v>30</v>
      </c>
      <c r="I10" s="32">
        <f>G10/H10</f>
        <v>0.4</v>
      </c>
      <c r="J10" s="84">
        <v>25000</v>
      </c>
      <c r="K10" s="46">
        <f t="shared" si="2"/>
        <v>10000</v>
      </c>
      <c r="L10" s="37"/>
      <c r="M10" s="26">
        <v>26</v>
      </c>
      <c r="N10" s="26">
        <v>30</v>
      </c>
      <c r="O10" s="32">
        <f>M10/N10</f>
        <v>0.8666666666666667</v>
      </c>
      <c r="P10" s="84">
        <v>12500</v>
      </c>
      <c r="Q10" s="46">
        <f>O10*P10</f>
        <v>10833.333333333334</v>
      </c>
      <c r="R10" s="44"/>
      <c r="S10" s="45">
        <f t="shared" si="1"/>
        <v>20833.333333333336</v>
      </c>
      <c r="T10" s="37"/>
      <c r="U10" s="1"/>
      <c r="V10" s="1"/>
    </row>
    <row r="11" spans="1:22" ht="14.5" thickBot="1">
      <c r="A11" s="182"/>
      <c r="B11" s="206"/>
      <c r="C11" s="11" t="s">
        <v>34</v>
      </c>
      <c r="D11" s="11" t="s">
        <v>35</v>
      </c>
      <c r="E11" s="12" t="s">
        <v>36</v>
      </c>
      <c r="F11" s="16" t="s">
        <v>37</v>
      </c>
      <c r="G11" s="26">
        <v>18</v>
      </c>
      <c r="H11" s="26">
        <v>30</v>
      </c>
      <c r="I11" s="32">
        <f>G11/H11</f>
        <v>0.6</v>
      </c>
      <c r="J11" s="84">
        <v>25000</v>
      </c>
      <c r="K11" s="46">
        <f t="shared" si="2"/>
        <v>15000</v>
      </c>
      <c r="L11" s="37"/>
      <c r="M11" s="26">
        <v>24</v>
      </c>
      <c r="N11" s="26">
        <v>30</v>
      </c>
      <c r="O11" s="32">
        <f>M11/N11</f>
        <v>0.8</v>
      </c>
      <c r="P11" s="84">
        <v>12500</v>
      </c>
      <c r="Q11" s="46">
        <f>O11*P11</f>
        <v>10000</v>
      </c>
      <c r="R11" s="44"/>
      <c r="S11" s="45">
        <f t="shared" si="1"/>
        <v>25000</v>
      </c>
      <c r="T11" s="37"/>
      <c r="U11" s="1"/>
      <c r="V11" s="1"/>
    </row>
    <row r="12" spans="1:22" ht="42.5" thickBot="1">
      <c r="A12" s="63" t="s">
        <v>116</v>
      </c>
      <c r="B12" s="64" t="s">
        <v>111</v>
      </c>
      <c r="C12" s="74"/>
      <c r="D12" s="74"/>
      <c r="E12" s="76"/>
      <c r="F12" s="77"/>
      <c r="G12" s="62"/>
      <c r="H12" s="62"/>
      <c r="I12" s="67"/>
      <c r="J12" s="69"/>
      <c r="K12" s="69">
        <f>SUM(K8:K11)</f>
        <v>45833.333333333328</v>
      </c>
      <c r="L12" s="68"/>
      <c r="M12" s="62"/>
      <c r="N12" s="62"/>
      <c r="O12" s="67"/>
      <c r="P12" s="69"/>
      <c r="Q12" s="69">
        <f>SUM(Q8:Q11)</f>
        <v>44583.333333333336</v>
      </c>
      <c r="R12" s="44"/>
      <c r="S12" s="70">
        <f>+K12+Q12</f>
        <v>90416.666666666657</v>
      </c>
      <c r="T12" s="37"/>
      <c r="U12" s="60">
        <v>37500</v>
      </c>
      <c r="V12" s="78">
        <f>+S12+U12</f>
        <v>127916.66666666666</v>
      </c>
    </row>
    <row r="13" spans="1:22">
      <c r="A13" s="180" t="s">
        <v>38</v>
      </c>
      <c r="B13" s="204" t="s">
        <v>39</v>
      </c>
      <c r="C13" s="5" t="s">
        <v>40</v>
      </c>
      <c r="D13" s="5" t="s">
        <v>41</v>
      </c>
      <c r="E13" s="5" t="s">
        <v>42</v>
      </c>
      <c r="F13" s="8" t="s">
        <v>43</v>
      </c>
      <c r="G13" s="26">
        <v>42</v>
      </c>
      <c r="H13" s="26">
        <v>30</v>
      </c>
      <c r="I13" s="31">
        <f>G13/H13</f>
        <v>1.4</v>
      </c>
      <c r="J13" s="84">
        <v>25000</v>
      </c>
      <c r="K13" s="43">
        <f>J13</f>
        <v>25000</v>
      </c>
      <c r="L13" s="37"/>
      <c r="M13" s="26">
        <v>66</v>
      </c>
      <c r="N13" s="26">
        <v>30</v>
      </c>
      <c r="O13" s="31">
        <f>M13/N13</f>
        <v>2.2000000000000002</v>
      </c>
      <c r="P13" s="84">
        <v>12500</v>
      </c>
      <c r="Q13" s="43">
        <f>P13</f>
        <v>12500</v>
      </c>
      <c r="R13" s="44"/>
      <c r="S13" s="45">
        <f t="shared" si="1"/>
        <v>37500</v>
      </c>
      <c r="T13" s="37"/>
      <c r="U13" s="1"/>
      <c r="V13" s="1"/>
    </row>
    <row r="14" spans="1:22">
      <c r="A14" s="181"/>
      <c r="B14" s="205"/>
      <c r="C14" s="1" t="s">
        <v>22</v>
      </c>
      <c r="D14" s="1" t="s">
        <v>44</v>
      </c>
      <c r="E14" s="1" t="s">
        <v>45</v>
      </c>
      <c r="F14" s="17" t="s">
        <v>46</v>
      </c>
      <c r="G14" s="26">
        <v>58</v>
      </c>
      <c r="H14" s="26">
        <v>30</v>
      </c>
      <c r="I14" s="31">
        <f>G14/H14</f>
        <v>1.9333333333333333</v>
      </c>
      <c r="J14" s="84">
        <v>25000</v>
      </c>
      <c r="K14" s="43">
        <f t="shared" ref="K14:K26" si="3">J14</f>
        <v>25000</v>
      </c>
      <c r="L14" s="37"/>
      <c r="M14" s="26">
        <v>18</v>
      </c>
      <c r="N14" s="26">
        <v>30</v>
      </c>
      <c r="O14" s="32">
        <f>M14/N14</f>
        <v>0.6</v>
      </c>
      <c r="P14" s="84">
        <v>12500</v>
      </c>
      <c r="Q14" s="43">
        <f t="shared" ref="Q14:Q24" si="4">P14</f>
        <v>12500</v>
      </c>
      <c r="R14" s="44"/>
      <c r="S14" s="45">
        <f t="shared" si="1"/>
        <v>37500</v>
      </c>
      <c r="T14" s="37"/>
      <c r="U14" s="1"/>
      <c r="V14" s="1"/>
    </row>
    <row r="15" spans="1:22">
      <c r="A15" s="181"/>
      <c r="B15" s="205"/>
      <c r="C15" s="1" t="s">
        <v>47</v>
      </c>
      <c r="D15" s="1" t="s">
        <v>48</v>
      </c>
      <c r="E15" s="1" t="s">
        <v>49</v>
      </c>
      <c r="F15" s="10">
        <v>778528509</v>
      </c>
      <c r="G15" s="26">
        <v>44</v>
      </c>
      <c r="H15" s="26">
        <v>30</v>
      </c>
      <c r="I15" s="31">
        <f>G15/H15</f>
        <v>1.4666666666666666</v>
      </c>
      <c r="J15" s="84">
        <v>25000</v>
      </c>
      <c r="K15" s="43">
        <f t="shared" si="3"/>
        <v>25000</v>
      </c>
      <c r="L15" s="37"/>
      <c r="M15" s="26">
        <v>50</v>
      </c>
      <c r="N15" s="26">
        <v>30</v>
      </c>
      <c r="O15" s="31">
        <f>M15/N15</f>
        <v>1.6666666666666667</v>
      </c>
      <c r="P15" s="84">
        <v>12500</v>
      </c>
      <c r="Q15" s="43">
        <f t="shared" si="4"/>
        <v>12500</v>
      </c>
      <c r="R15" s="44"/>
      <c r="S15" s="45">
        <f t="shared" si="1"/>
        <v>37500</v>
      </c>
      <c r="T15" s="37"/>
      <c r="U15" s="1"/>
      <c r="V15" s="1"/>
    </row>
    <row r="16" spans="1:22" ht="14.5" thickBot="1">
      <c r="A16" s="182"/>
      <c r="B16" s="206"/>
      <c r="C16" s="11" t="s">
        <v>50</v>
      </c>
      <c r="D16" s="11" t="s">
        <v>23</v>
      </c>
      <c r="E16" s="11" t="s">
        <v>51</v>
      </c>
      <c r="F16" s="13">
        <v>787655222</v>
      </c>
      <c r="G16" s="26">
        <v>41</v>
      </c>
      <c r="H16" s="26">
        <v>30</v>
      </c>
      <c r="I16" s="31">
        <f>G16/H16</f>
        <v>1.3666666666666667</v>
      </c>
      <c r="J16" s="84">
        <v>25000</v>
      </c>
      <c r="K16" s="43">
        <f t="shared" si="3"/>
        <v>25000</v>
      </c>
      <c r="L16" s="37"/>
      <c r="M16" s="26">
        <v>55</v>
      </c>
      <c r="N16" s="26">
        <v>30</v>
      </c>
      <c r="O16" s="31">
        <f>M16/N16</f>
        <v>1.8333333333333333</v>
      </c>
      <c r="P16" s="84">
        <v>12500</v>
      </c>
      <c r="Q16" s="43">
        <f t="shared" si="4"/>
        <v>12500</v>
      </c>
      <c r="R16" s="44"/>
      <c r="S16" s="45">
        <f t="shared" si="1"/>
        <v>37500</v>
      </c>
      <c r="T16" s="37"/>
      <c r="U16" s="1"/>
      <c r="V16" s="1"/>
    </row>
    <row r="17" spans="1:22" ht="28.5" thickBot="1">
      <c r="A17" s="63" t="s">
        <v>38</v>
      </c>
      <c r="B17" s="71" t="s">
        <v>112</v>
      </c>
      <c r="C17" s="74"/>
      <c r="D17" s="74"/>
      <c r="E17" s="74"/>
      <c r="F17" s="75"/>
      <c r="G17" s="62"/>
      <c r="H17" s="62"/>
      <c r="I17" s="67"/>
      <c r="J17" s="69"/>
      <c r="K17" s="69">
        <f>SUM(K13:K16)</f>
        <v>100000</v>
      </c>
      <c r="L17" s="68"/>
      <c r="M17" s="62"/>
      <c r="N17" s="62"/>
      <c r="O17" s="67"/>
      <c r="P17" s="69"/>
      <c r="Q17" s="69">
        <f>SUM(Q13:Q16)</f>
        <v>50000</v>
      </c>
      <c r="R17" s="44"/>
      <c r="S17" s="70">
        <f t="shared" si="1"/>
        <v>150000</v>
      </c>
      <c r="T17" s="37"/>
      <c r="U17" s="60">
        <v>37500</v>
      </c>
      <c r="V17" s="78">
        <f>+S17+U17</f>
        <v>187500</v>
      </c>
    </row>
    <row r="18" spans="1:22">
      <c r="A18" s="180" t="s">
        <v>52</v>
      </c>
      <c r="B18" s="208" t="s">
        <v>53</v>
      </c>
      <c r="C18" s="5" t="s">
        <v>54</v>
      </c>
      <c r="D18" s="5" t="s">
        <v>55</v>
      </c>
      <c r="E18" s="5" t="s">
        <v>56</v>
      </c>
      <c r="F18" s="18" t="s">
        <v>57</v>
      </c>
      <c r="G18" s="26">
        <v>50</v>
      </c>
      <c r="H18" s="26">
        <v>30</v>
      </c>
      <c r="I18" s="31">
        <f>G18/H18</f>
        <v>1.6666666666666667</v>
      </c>
      <c r="J18" s="84">
        <v>25000</v>
      </c>
      <c r="K18" s="43">
        <f t="shared" si="3"/>
        <v>25000</v>
      </c>
      <c r="L18" s="37"/>
      <c r="M18" s="26">
        <v>77</v>
      </c>
      <c r="N18" s="26">
        <v>30</v>
      </c>
      <c r="O18" s="31">
        <f>M18/N18</f>
        <v>2.5666666666666669</v>
      </c>
      <c r="P18" s="84">
        <v>12500</v>
      </c>
      <c r="Q18" s="43">
        <f t="shared" si="4"/>
        <v>12500</v>
      </c>
      <c r="R18" s="44"/>
      <c r="S18" s="45">
        <f t="shared" si="1"/>
        <v>37500</v>
      </c>
      <c r="T18" s="37"/>
      <c r="U18" s="1"/>
      <c r="V18" s="1"/>
    </row>
    <row r="19" spans="1:22">
      <c r="A19" s="181"/>
      <c r="B19" s="209"/>
      <c r="C19" s="1" t="s">
        <v>58</v>
      </c>
      <c r="D19" s="1" t="s">
        <v>59</v>
      </c>
      <c r="E19" s="1" t="s">
        <v>60</v>
      </c>
      <c r="F19" s="19" t="s">
        <v>61</v>
      </c>
      <c r="G19" s="26">
        <v>34</v>
      </c>
      <c r="H19" s="26">
        <v>30</v>
      </c>
      <c r="I19" s="31">
        <f>G19/H19</f>
        <v>1.1333333333333333</v>
      </c>
      <c r="J19" s="84">
        <v>25000</v>
      </c>
      <c r="K19" s="43">
        <f t="shared" si="3"/>
        <v>25000</v>
      </c>
      <c r="L19" s="37"/>
      <c r="M19" s="26">
        <v>62</v>
      </c>
      <c r="N19" s="26">
        <v>30</v>
      </c>
      <c r="O19" s="31">
        <f>M19/N19</f>
        <v>2.0666666666666669</v>
      </c>
      <c r="P19" s="84">
        <v>12500</v>
      </c>
      <c r="Q19" s="43">
        <f t="shared" si="4"/>
        <v>12500</v>
      </c>
      <c r="R19" s="44"/>
      <c r="S19" s="45">
        <f t="shared" si="1"/>
        <v>37500</v>
      </c>
      <c r="T19" s="37"/>
      <c r="U19" s="1"/>
      <c r="V19" s="1"/>
    </row>
    <row r="20" spans="1:22">
      <c r="A20" s="181"/>
      <c r="B20" s="209"/>
      <c r="C20" s="1" t="s">
        <v>62</v>
      </c>
      <c r="D20" s="1" t="s">
        <v>23</v>
      </c>
      <c r="E20" s="1" t="s">
        <v>63</v>
      </c>
      <c r="F20" s="19" t="s">
        <v>64</v>
      </c>
      <c r="G20" s="26">
        <v>58</v>
      </c>
      <c r="H20" s="26">
        <v>30</v>
      </c>
      <c r="I20" s="31">
        <f>G20/H20</f>
        <v>1.9333333333333333</v>
      </c>
      <c r="J20" s="84">
        <v>25000</v>
      </c>
      <c r="K20" s="43">
        <f t="shared" si="3"/>
        <v>25000</v>
      </c>
      <c r="L20" s="37"/>
      <c r="M20" s="26">
        <v>69</v>
      </c>
      <c r="N20" s="26">
        <v>30</v>
      </c>
      <c r="O20" s="31">
        <f>M20/N20</f>
        <v>2.2999999999999998</v>
      </c>
      <c r="P20" s="84">
        <v>12500</v>
      </c>
      <c r="Q20" s="43">
        <f t="shared" si="4"/>
        <v>12500</v>
      </c>
      <c r="R20" s="44"/>
      <c r="S20" s="45">
        <f t="shared" si="1"/>
        <v>37500</v>
      </c>
      <c r="T20" s="37"/>
      <c r="U20" s="1"/>
      <c r="V20" s="1"/>
    </row>
    <row r="21" spans="1:22" ht="14.5" thickBot="1">
      <c r="A21" s="182"/>
      <c r="B21" s="210"/>
      <c r="C21" s="20" t="s">
        <v>65</v>
      </c>
      <c r="D21" s="20" t="s">
        <v>66</v>
      </c>
      <c r="E21" s="20" t="s">
        <v>92</v>
      </c>
      <c r="F21" s="21" t="s">
        <v>67</v>
      </c>
      <c r="G21" s="26">
        <v>58</v>
      </c>
      <c r="H21" s="26">
        <v>30</v>
      </c>
      <c r="I21" s="31">
        <f>G21/H21</f>
        <v>1.9333333333333333</v>
      </c>
      <c r="J21" s="84">
        <v>25000</v>
      </c>
      <c r="K21" s="43">
        <f t="shared" si="3"/>
        <v>25000</v>
      </c>
      <c r="L21" s="37"/>
      <c r="M21" s="26">
        <v>73</v>
      </c>
      <c r="N21" s="26">
        <v>30</v>
      </c>
      <c r="O21" s="31">
        <f>M21/N21</f>
        <v>2.4333333333333331</v>
      </c>
      <c r="P21" s="84">
        <v>12500</v>
      </c>
      <c r="Q21" s="43">
        <f t="shared" si="4"/>
        <v>12500</v>
      </c>
      <c r="R21" s="44"/>
      <c r="S21" s="45">
        <f t="shared" si="1"/>
        <v>37500</v>
      </c>
      <c r="T21" s="37"/>
      <c r="U21" s="1"/>
      <c r="V21" s="1"/>
    </row>
    <row r="22" spans="1:22" ht="56.5" thickBot="1">
      <c r="A22" s="63" t="s">
        <v>117</v>
      </c>
      <c r="B22" s="71" t="s">
        <v>113</v>
      </c>
      <c r="C22" s="72"/>
      <c r="D22" s="72"/>
      <c r="E22" s="72"/>
      <c r="F22" s="73"/>
      <c r="G22" s="62"/>
      <c r="H22" s="62"/>
      <c r="I22" s="67"/>
      <c r="J22" s="69"/>
      <c r="K22" s="69">
        <f>SUM(K18:K21)</f>
        <v>100000</v>
      </c>
      <c r="L22" s="37"/>
      <c r="M22" s="62"/>
      <c r="N22" s="62"/>
      <c r="O22" s="67"/>
      <c r="P22" s="69"/>
      <c r="Q22" s="69">
        <f>SUM(Q18:Q21)</f>
        <v>50000</v>
      </c>
      <c r="R22" s="44"/>
      <c r="S22" s="70">
        <f>+K22+Q22</f>
        <v>150000</v>
      </c>
      <c r="T22" s="37"/>
      <c r="U22" s="60">
        <v>37500</v>
      </c>
      <c r="V22" s="78">
        <f>+S22+U22</f>
        <v>187500</v>
      </c>
    </row>
    <row r="23" spans="1:22" ht="15" thickBot="1">
      <c r="A23" s="180" t="s">
        <v>68</v>
      </c>
      <c r="B23" s="204" t="s">
        <v>69</v>
      </c>
      <c r="C23" s="5" t="s">
        <v>70</v>
      </c>
      <c r="D23" s="5" t="s">
        <v>27</v>
      </c>
      <c r="E23" s="5" t="s">
        <v>71</v>
      </c>
      <c r="F23" s="22">
        <v>786241255</v>
      </c>
      <c r="G23" s="26">
        <v>55</v>
      </c>
      <c r="H23" s="26">
        <v>30</v>
      </c>
      <c r="I23" s="31">
        <f>G23/H23</f>
        <v>1.8333333333333333</v>
      </c>
      <c r="J23" s="84">
        <v>25000</v>
      </c>
      <c r="K23" s="43">
        <f t="shared" si="3"/>
        <v>25000</v>
      </c>
      <c r="L23" s="37"/>
      <c r="M23" s="26">
        <v>31</v>
      </c>
      <c r="N23" s="26">
        <v>30</v>
      </c>
      <c r="O23" s="31">
        <f>M23/N23</f>
        <v>1.0333333333333334</v>
      </c>
      <c r="P23" s="84">
        <v>12500</v>
      </c>
      <c r="Q23" s="43">
        <f t="shared" si="4"/>
        <v>12500</v>
      </c>
      <c r="R23" s="44"/>
      <c r="S23" s="45">
        <f t="shared" si="1"/>
        <v>37500</v>
      </c>
      <c r="T23" s="37"/>
      <c r="U23" s="1"/>
      <c r="V23" s="1"/>
    </row>
    <row r="24" spans="1:22" ht="15" thickBot="1">
      <c r="A24" s="181"/>
      <c r="B24" s="205"/>
      <c r="C24" s="1" t="s">
        <v>72</v>
      </c>
      <c r="D24" s="1" t="s">
        <v>73</v>
      </c>
      <c r="E24" s="1" t="s">
        <v>74</v>
      </c>
      <c r="F24" s="23">
        <v>775812208</v>
      </c>
      <c r="G24" s="26">
        <v>62</v>
      </c>
      <c r="H24" s="26">
        <v>30</v>
      </c>
      <c r="I24" s="31">
        <f>G24/H24</f>
        <v>2.0666666666666669</v>
      </c>
      <c r="J24" s="84">
        <v>25000</v>
      </c>
      <c r="K24" s="43">
        <f t="shared" si="3"/>
        <v>25000</v>
      </c>
      <c r="L24" s="37"/>
      <c r="M24" s="26">
        <v>53</v>
      </c>
      <c r="N24" s="26">
        <v>30</v>
      </c>
      <c r="O24" s="31">
        <f>M24/N24</f>
        <v>1.7666666666666666</v>
      </c>
      <c r="P24" s="84">
        <v>12500</v>
      </c>
      <c r="Q24" s="43">
        <f t="shared" si="4"/>
        <v>12500</v>
      </c>
      <c r="R24" s="44"/>
      <c r="S24" s="45">
        <f t="shared" si="1"/>
        <v>37500</v>
      </c>
      <c r="T24" s="37"/>
      <c r="U24" s="1"/>
      <c r="V24" s="1"/>
    </row>
    <row r="25" spans="1:22" ht="15" thickBot="1">
      <c r="A25" s="181"/>
      <c r="B25" s="205"/>
      <c r="C25" s="1" t="s">
        <v>75</v>
      </c>
      <c r="D25" s="1" t="s">
        <v>76</v>
      </c>
      <c r="E25" s="1" t="s">
        <v>77</v>
      </c>
      <c r="F25" s="23">
        <v>786241266</v>
      </c>
      <c r="G25" s="26">
        <v>46</v>
      </c>
      <c r="H25" s="26">
        <v>30</v>
      </c>
      <c r="I25" s="31">
        <f>G25/H25</f>
        <v>1.5333333333333334</v>
      </c>
      <c r="J25" s="84">
        <v>25000</v>
      </c>
      <c r="K25" s="43">
        <f t="shared" si="3"/>
        <v>25000</v>
      </c>
      <c r="L25" s="37"/>
      <c r="M25" s="26">
        <v>0</v>
      </c>
      <c r="N25" s="26">
        <v>30</v>
      </c>
      <c r="O25" s="32">
        <f>M25/N25</f>
        <v>0</v>
      </c>
      <c r="P25" s="84">
        <v>12500</v>
      </c>
      <c r="Q25" s="47">
        <f>O25*P25</f>
        <v>0</v>
      </c>
      <c r="R25" s="44"/>
      <c r="S25" s="45">
        <f t="shared" si="1"/>
        <v>25000</v>
      </c>
      <c r="T25" s="37"/>
      <c r="U25" s="1"/>
      <c r="V25" s="1"/>
    </row>
    <row r="26" spans="1:22" ht="15" thickBot="1">
      <c r="A26" s="182"/>
      <c r="B26" s="205"/>
      <c r="C26" s="2" t="s">
        <v>78</v>
      </c>
      <c r="D26" s="2" t="s">
        <v>79</v>
      </c>
      <c r="E26" s="2" t="s">
        <v>80</v>
      </c>
      <c r="F26" s="24">
        <v>786239376</v>
      </c>
      <c r="G26" s="26">
        <v>55</v>
      </c>
      <c r="H26" s="26">
        <v>30</v>
      </c>
      <c r="I26" s="31">
        <f>G26/H26</f>
        <v>1.8333333333333333</v>
      </c>
      <c r="J26" s="84">
        <v>25000</v>
      </c>
      <c r="K26" s="43">
        <f t="shared" si="3"/>
        <v>25000</v>
      </c>
      <c r="L26" s="37"/>
      <c r="M26" s="26">
        <v>15</v>
      </c>
      <c r="N26" s="26">
        <v>30</v>
      </c>
      <c r="O26" s="32">
        <f>M26/N26</f>
        <v>0.5</v>
      </c>
      <c r="P26" s="84">
        <v>12500</v>
      </c>
      <c r="Q26" s="47">
        <f>O26*P26</f>
        <v>6250</v>
      </c>
      <c r="R26" s="44"/>
      <c r="S26" s="45">
        <f t="shared" si="1"/>
        <v>31250</v>
      </c>
      <c r="T26" s="37"/>
      <c r="U26" s="1"/>
      <c r="V26" s="1"/>
    </row>
    <row r="27" spans="1:22" ht="42.5" thickBot="1">
      <c r="A27" s="63" t="s">
        <v>118</v>
      </c>
      <c r="B27" s="64" t="s">
        <v>114</v>
      </c>
      <c r="C27" s="65"/>
      <c r="D27" s="65"/>
      <c r="E27" s="65"/>
      <c r="F27" s="66"/>
      <c r="G27" s="62"/>
      <c r="H27" s="62"/>
      <c r="I27" s="67"/>
      <c r="J27" s="69"/>
      <c r="K27" s="69">
        <f>SUM(K23:K26)</f>
        <v>100000</v>
      </c>
      <c r="L27" s="37"/>
      <c r="M27" s="62"/>
      <c r="N27" s="62"/>
      <c r="O27" s="67"/>
      <c r="P27" s="69"/>
      <c r="Q27" s="69">
        <f>SUM(Q23:Q26)</f>
        <v>31250</v>
      </c>
      <c r="R27" s="44"/>
      <c r="S27" s="70">
        <f>+K27+Q27</f>
        <v>131250</v>
      </c>
      <c r="T27" s="37"/>
      <c r="U27" s="60">
        <v>37500</v>
      </c>
      <c r="V27" s="78">
        <f>+S27+U27</f>
        <v>168750</v>
      </c>
    </row>
    <row r="28" spans="1:22">
      <c r="A28" s="180" t="s">
        <v>81</v>
      </c>
      <c r="B28" s="207" t="s">
        <v>82</v>
      </c>
      <c r="C28" s="1" t="s">
        <v>83</v>
      </c>
      <c r="D28" s="1" t="s">
        <v>84</v>
      </c>
      <c r="E28" s="1" t="s">
        <v>85</v>
      </c>
      <c r="F28" s="15">
        <v>787095594</v>
      </c>
      <c r="G28" s="26"/>
      <c r="H28" s="26">
        <v>30</v>
      </c>
      <c r="I28" s="32">
        <f>G28/H28</f>
        <v>0</v>
      </c>
      <c r="J28" s="84">
        <v>25000</v>
      </c>
      <c r="K28" s="46">
        <f>J28*I28</f>
        <v>0</v>
      </c>
      <c r="L28" s="37"/>
      <c r="M28" s="26"/>
      <c r="N28" s="26">
        <v>30</v>
      </c>
      <c r="O28" s="32">
        <f>M28/N28</f>
        <v>0</v>
      </c>
      <c r="P28" s="84">
        <v>12500</v>
      </c>
      <c r="Q28" s="46">
        <f>O28*P28</f>
        <v>0</v>
      </c>
      <c r="R28" s="44"/>
      <c r="S28" s="45">
        <f t="shared" si="1"/>
        <v>0</v>
      </c>
      <c r="T28" s="37"/>
      <c r="U28" s="1"/>
      <c r="V28" s="1"/>
    </row>
    <row r="29" spans="1:22">
      <c r="A29" s="181"/>
      <c r="B29" s="205"/>
      <c r="C29" s="1" t="s">
        <v>86</v>
      </c>
      <c r="D29" s="1" t="s">
        <v>87</v>
      </c>
      <c r="E29" s="1" t="s">
        <v>88</v>
      </c>
      <c r="F29" s="15">
        <v>787095584</v>
      </c>
      <c r="G29" s="26"/>
      <c r="H29" s="26">
        <v>30</v>
      </c>
      <c r="I29" s="32">
        <f>G29/H29</f>
        <v>0</v>
      </c>
      <c r="J29" s="84">
        <v>25000</v>
      </c>
      <c r="K29" s="46">
        <f t="shared" ref="K29:K31" si="5">J29*I29</f>
        <v>0</v>
      </c>
      <c r="L29" s="37"/>
      <c r="M29" s="26"/>
      <c r="N29" s="26">
        <v>30</v>
      </c>
      <c r="O29" s="32">
        <f>M29/N29</f>
        <v>0</v>
      </c>
      <c r="P29" s="84">
        <v>12500</v>
      </c>
      <c r="Q29" s="46">
        <f t="shared" ref="Q29:Q31" si="6">O29*P29</f>
        <v>0</v>
      </c>
      <c r="R29" s="44"/>
      <c r="S29" s="45">
        <f t="shared" si="1"/>
        <v>0</v>
      </c>
      <c r="T29" s="37"/>
      <c r="U29" s="1"/>
      <c r="V29" s="1"/>
    </row>
    <row r="30" spans="1:22">
      <c r="A30" s="181"/>
      <c r="B30" s="205"/>
      <c r="C30" s="1" t="s">
        <v>89</v>
      </c>
      <c r="D30" s="1" t="s">
        <v>31</v>
      </c>
      <c r="E30" s="1" t="s">
        <v>90</v>
      </c>
      <c r="F30" s="15">
        <v>782989910</v>
      </c>
      <c r="G30" s="26"/>
      <c r="H30" s="26">
        <v>30</v>
      </c>
      <c r="I30" s="32">
        <f>G30/H30</f>
        <v>0</v>
      </c>
      <c r="J30" s="84">
        <v>25000</v>
      </c>
      <c r="K30" s="46">
        <f t="shared" si="5"/>
        <v>0</v>
      </c>
      <c r="L30" s="37"/>
      <c r="M30" s="26"/>
      <c r="N30" s="26">
        <v>30</v>
      </c>
      <c r="O30" s="32">
        <f>M30/N30</f>
        <v>0</v>
      </c>
      <c r="P30" s="84">
        <v>12500</v>
      </c>
      <c r="Q30" s="46">
        <f t="shared" si="6"/>
        <v>0</v>
      </c>
      <c r="R30" s="44"/>
      <c r="S30" s="45">
        <f t="shared" si="1"/>
        <v>0</v>
      </c>
      <c r="T30" s="37"/>
      <c r="U30" s="1"/>
      <c r="V30" s="1"/>
    </row>
    <row r="31" spans="1:22">
      <c r="A31" s="181"/>
      <c r="B31" s="205"/>
      <c r="C31" s="2" t="s">
        <v>93</v>
      </c>
      <c r="D31" s="2" t="s">
        <v>94</v>
      </c>
      <c r="E31" s="2" t="s">
        <v>95</v>
      </c>
      <c r="F31" s="34">
        <v>781180981</v>
      </c>
      <c r="G31" s="56"/>
      <c r="H31" s="56">
        <v>30</v>
      </c>
      <c r="I31" s="57">
        <f>G31/H31</f>
        <v>0</v>
      </c>
      <c r="J31" s="85">
        <v>25000</v>
      </c>
      <c r="K31" s="58">
        <f t="shared" si="5"/>
        <v>0</v>
      </c>
      <c r="L31" s="37"/>
      <c r="M31" s="56"/>
      <c r="N31" s="56">
        <v>30</v>
      </c>
      <c r="O31" s="57">
        <f>M31/N31</f>
        <v>0</v>
      </c>
      <c r="P31" s="85">
        <v>12500</v>
      </c>
      <c r="Q31" s="58">
        <f t="shared" si="6"/>
        <v>0</v>
      </c>
      <c r="R31" s="44"/>
      <c r="S31" s="45">
        <f t="shared" si="1"/>
        <v>0</v>
      </c>
      <c r="T31" s="37"/>
      <c r="U31" s="1"/>
      <c r="V31" s="1"/>
    </row>
    <row r="32" spans="1:22" ht="56">
      <c r="A32" s="60" t="s">
        <v>81</v>
      </c>
      <c r="B32" s="61" t="s">
        <v>115</v>
      </c>
      <c r="C32" s="60"/>
      <c r="D32" s="60"/>
      <c r="E32" s="60"/>
      <c r="F32" s="62"/>
      <c r="G32" s="62"/>
      <c r="H32" s="62"/>
      <c r="I32" s="62"/>
      <c r="J32" s="69"/>
      <c r="K32" s="69">
        <f>SUM(K28:K31)</f>
        <v>0</v>
      </c>
      <c r="L32" s="60"/>
      <c r="M32" s="62"/>
      <c r="N32" s="62"/>
      <c r="O32" s="62"/>
      <c r="P32" s="86"/>
      <c r="Q32" s="86">
        <f>SUM(Q28:Q31)</f>
        <v>0</v>
      </c>
      <c r="R32" s="44"/>
      <c r="S32" s="86">
        <f>+Q32+K32</f>
        <v>0</v>
      </c>
      <c r="T32" s="37"/>
      <c r="U32" s="60">
        <v>0</v>
      </c>
      <c r="V32" s="78">
        <f>+S32+U32</f>
        <v>0</v>
      </c>
    </row>
    <row r="33" spans="2:22">
      <c r="S33" s="87">
        <f t="shared" ref="S33:U33" si="7">S32+S27+S22+S17+S12+S7</f>
        <v>671666.66666666663</v>
      </c>
      <c r="T33" s="79">
        <f t="shared" si="7"/>
        <v>0</v>
      </c>
      <c r="U33" s="79">
        <f t="shared" si="7"/>
        <v>187500</v>
      </c>
      <c r="V33" s="79">
        <f>V32+V27+V22+V17+V12+V7</f>
        <v>859166.66666666663</v>
      </c>
    </row>
    <row r="34" spans="2:22">
      <c r="B34" t="s">
        <v>119</v>
      </c>
      <c r="S34" s="79"/>
    </row>
  </sheetData>
  <autoFilter ref="A1:V32">
    <filterColumn colId="6" showButton="0"/>
    <filterColumn colId="7" showButton="0"/>
    <filterColumn colId="8" showButton="0"/>
    <filterColumn colId="9" showButton="0"/>
    <filterColumn colId="12" showButton="0"/>
    <filterColumn colId="13" showButton="0"/>
    <filterColumn colId="14" showButton="0"/>
    <filterColumn colId="15" showButton="0"/>
  </autoFilter>
  <mergeCells count="14">
    <mergeCell ref="A28:A31"/>
    <mergeCell ref="B28:B31"/>
    <mergeCell ref="A13:A16"/>
    <mergeCell ref="B13:B16"/>
    <mergeCell ref="A18:A21"/>
    <mergeCell ref="B18:B21"/>
    <mergeCell ref="A23:A26"/>
    <mergeCell ref="B23:B26"/>
    <mergeCell ref="G1:K1"/>
    <mergeCell ref="M1:Q1"/>
    <mergeCell ref="A3:A6"/>
    <mergeCell ref="B3:B6"/>
    <mergeCell ref="A8:A11"/>
    <mergeCell ref="B8:B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topLeftCell="A6" zoomScale="83" zoomScaleNormal="83" workbookViewId="0">
      <selection activeCell="X3" sqref="X3"/>
    </sheetView>
  </sheetViews>
  <sheetFormatPr baseColWidth="10" defaultRowHeight="14"/>
  <cols>
    <col min="1" max="1" width="10.08203125" bestFit="1" customWidth="1"/>
    <col min="3" max="3" width="22.4140625" customWidth="1"/>
    <col min="5" max="5" width="15.5" customWidth="1"/>
    <col min="6" max="6" width="11.5" style="25" customWidth="1"/>
    <col min="7" max="9" width="5.4140625" style="25" bestFit="1" customWidth="1"/>
    <col min="10" max="10" width="5.4140625" bestFit="1" customWidth="1"/>
    <col min="11" max="11" width="11.08203125" style="25" bestFit="1" customWidth="1"/>
    <col min="12" max="12" width="8.6640625" style="25" bestFit="1" customWidth="1"/>
    <col min="13" max="13" width="11.6640625" style="25" bestFit="1" customWidth="1"/>
    <col min="14" max="14" width="13.08203125" style="25" bestFit="1" customWidth="1"/>
    <col min="15" max="15" width="14.4140625" bestFit="1" customWidth="1"/>
    <col min="16" max="16" width="2.1640625" style="123" customWidth="1"/>
    <col min="17" max="19" width="5.25" bestFit="1" customWidth="1"/>
    <col min="20" max="20" width="5.25" style="25" bestFit="1" customWidth="1"/>
    <col min="26" max="26" width="3.08203125" customWidth="1"/>
    <col min="27" max="27" width="10.9140625" customWidth="1"/>
    <col min="28" max="28" width="2.75" customWidth="1"/>
    <col min="29" max="29" width="30.83203125" bestFit="1" customWidth="1"/>
    <col min="30" max="30" width="2.25" customWidth="1"/>
    <col min="31" max="31" width="22.75" style="25" customWidth="1"/>
  </cols>
  <sheetData>
    <row r="1" spans="1:31" s="149" customFormat="1" ht="42">
      <c r="G1" s="211" t="s">
        <v>132</v>
      </c>
      <c r="H1" s="211"/>
      <c r="I1" s="211"/>
      <c r="J1" s="211"/>
      <c r="K1" s="211"/>
      <c r="L1" s="211"/>
      <c r="M1" s="211"/>
      <c r="N1" s="211"/>
      <c r="O1" s="211"/>
      <c r="P1" s="150"/>
      <c r="Q1" s="211" t="s">
        <v>106</v>
      </c>
      <c r="R1" s="211"/>
      <c r="S1" s="211"/>
      <c r="T1" s="211"/>
      <c r="U1" s="211"/>
      <c r="V1" s="211"/>
      <c r="W1" s="211"/>
      <c r="X1" s="211"/>
      <c r="Y1" s="211"/>
      <c r="Z1" s="150"/>
      <c r="AA1" s="151" t="s">
        <v>107</v>
      </c>
      <c r="AB1" s="150"/>
      <c r="AC1" s="135" t="s">
        <v>123</v>
      </c>
      <c r="AD1" s="152"/>
      <c r="AE1" s="128" t="s">
        <v>124</v>
      </c>
    </row>
    <row r="2" spans="1:31" s="136" customFormat="1" ht="42">
      <c r="A2" s="128"/>
      <c r="B2" s="128" t="s">
        <v>0</v>
      </c>
      <c r="C2" s="128" t="s">
        <v>1</v>
      </c>
      <c r="D2" s="128" t="s">
        <v>2</v>
      </c>
      <c r="E2" s="128" t="s">
        <v>3</v>
      </c>
      <c r="F2" s="128" t="s">
        <v>4</v>
      </c>
      <c r="G2" s="129" t="s">
        <v>104</v>
      </c>
      <c r="H2" s="129" t="s">
        <v>6</v>
      </c>
      <c r="I2" s="129" t="s">
        <v>91</v>
      </c>
      <c r="J2" s="138" t="s">
        <v>96</v>
      </c>
      <c r="K2" s="130" t="s">
        <v>103</v>
      </c>
      <c r="L2" s="128" t="s">
        <v>101</v>
      </c>
      <c r="M2" s="128" t="s">
        <v>142</v>
      </c>
      <c r="N2" s="128" t="s">
        <v>100</v>
      </c>
      <c r="O2" s="128" t="s">
        <v>99</v>
      </c>
      <c r="P2" s="131"/>
      <c r="Q2" s="132" t="s">
        <v>104</v>
      </c>
      <c r="R2" s="132" t="s">
        <v>6</v>
      </c>
      <c r="S2" s="132" t="s">
        <v>91</v>
      </c>
      <c r="T2" s="132" t="s">
        <v>96</v>
      </c>
      <c r="U2" s="130" t="s">
        <v>103</v>
      </c>
      <c r="V2" s="128" t="s">
        <v>109</v>
      </c>
      <c r="W2" s="128" t="s">
        <v>102</v>
      </c>
      <c r="X2" s="128" t="s">
        <v>100</v>
      </c>
      <c r="Y2" s="128" t="s">
        <v>99</v>
      </c>
      <c r="Z2" s="131"/>
      <c r="AA2" s="133" t="s">
        <v>108</v>
      </c>
      <c r="AB2" s="134"/>
      <c r="AC2" s="135" t="s">
        <v>123</v>
      </c>
      <c r="AD2" s="131"/>
      <c r="AE2" s="128" t="s">
        <v>124</v>
      </c>
    </row>
    <row r="3" spans="1:31">
      <c r="A3" s="200" t="s">
        <v>7</v>
      </c>
      <c r="B3" s="200" t="s">
        <v>8</v>
      </c>
      <c r="C3" s="1" t="s">
        <v>9</v>
      </c>
      <c r="D3" s="1" t="s">
        <v>10</v>
      </c>
      <c r="E3" s="1" t="s">
        <v>11</v>
      </c>
      <c r="F3" s="26">
        <v>775810336</v>
      </c>
      <c r="G3" s="33">
        <v>41</v>
      </c>
      <c r="H3" s="33">
        <v>31</v>
      </c>
      <c r="I3" s="33">
        <v>42</v>
      </c>
      <c r="J3" s="139">
        <v>54</v>
      </c>
      <c r="K3" s="35">
        <f>+G3+H3+I3+J3</f>
        <v>168</v>
      </c>
      <c r="L3" s="26">
        <v>240</v>
      </c>
      <c r="M3" s="32">
        <f>K3/L3</f>
        <v>0.7</v>
      </c>
      <c r="N3" s="26">
        <v>100000</v>
      </c>
      <c r="O3" s="50">
        <f>+N3*M3</f>
        <v>70000</v>
      </c>
      <c r="P3" s="100"/>
      <c r="Q3" s="38">
        <v>47</v>
      </c>
      <c r="R3" s="38">
        <v>31</v>
      </c>
      <c r="S3" s="38">
        <v>15</v>
      </c>
      <c r="T3" s="38">
        <v>15</v>
      </c>
      <c r="U3" s="42">
        <f>+Q3+R3+S3+T3</f>
        <v>108</v>
      </c>
      <c r="V3" s="26">
        <v>120</v>
      </c>
      <c r="W3" s="32">
        <f>+U3/V3</f>
        <v>0.9</v>
      </c>
      <c r="X3" s="26">
        <v>50000</v>
      </c>
      <c r="Y3" s="50">
        <f>+W3*X3</f>
        <v>45000</v>
      </c>
      <c r="Z3" s="101"/>
      <c r="AA3" s="102">
        <f t="shared" ref="AA3:AA32" si="0">+O3+Y3</f>
        <v>115000</v>
      </c>
      <c r="AB3" s="110"/>
      <c r="AC3" s="1"/>
      <c r="AD3" s="100"/>
      <c r="AE3" s="26"/>
    </row>
    <row r="4" spans="1:31">
      <c r="A4" s="200"/>
      <c r="B4" s="200"/>
      <c r="C4" s="1" t="s">
        <v>12</v>
      </c>
      <c r="D4" s="1" t="s">
        <v>13</v>
      </c>
      <c r="E4" s="1" t="s">
        <v>14</v>
      </c>
      <c r="F4" s="26">
        <v>772107591</v>
      </c>
      <c r="G4" s="33">
        <v>35</v>
      </c>
      <c r="H4" s="33">
        <v>33</v>
      </c>
      <c r="I4" s="33">
        <v>42</v>
      </c>
      <c r="J4" s="139">
        <v>55</v>
      </c>
      <c r="K4" s="35">
        <f t="shared" ref="K4:K31" si="1">+G4+H4+I4+J4</f>
        <v>165</v>
      </c>
      <c r="L4" s="26">
        <v>240</v>
      </c>
      <c r="M4" s="32">
        <f>K4/L4</f>
        <v>0.6875</v>
      </c>
      <c r="N4" s="26">
        <v>100000</v>
      </c>
      <c r="O4" s="50">
        <f t="shared" ref="O4:O11" si="2">+N4*M4</f>
        <v>68750</v>
      </c>
      <c r="P4" s="100"/>
      <c r="Q4" s="38">
        <v>55</v>
      </c>
      <c r="R4" s="38">
        <v>34</v>
      </c>
      <c r="S4" s="38">
        <v>20</v>
      </c>
      <c r="T4" s="38">
        <v>20</v>
      </c>
      <c r="U4" s="40">
        <f t="shared" ref="U4:U31" si="3">+Q4+R4+S4+T4</f>
        <v>129</v>
      </c>
      <c r="V4" s="26">
        <v>120</v>
      </c>
      <c r="W4" s="53">
        <f>+U4/V4</f>
        <v>1.075</v>
      </c>
      <c r="X4" s="26">
        <v>50000</v>
      </c>
      <c r="Y4" s="54">
        <v>50000</v>
      </c>
      <c r="Z4" s="101"/>
      <c r="AA4" s="102">
        <f t="shared" si="0"/>
        <v>118750</v>
      </c>
      <c r="AB4" s="110"/>
      <c r="AC4" s="1"/>
      <c r="AD4" s="100"/>
      <c r="AE4" s="26"/>
    </row>
    <row r="5" spans="1:31">
      <c r="A5" s="200"/>
      <c r="B5" s="200"/>
      <c r="C5" s="1" t="s">
        <v>15</v>
      </c>
      <c r="D5" s="1" t="s">
        <v>16</v>
      </c>
      <c r="E5" s="1" t="s">
        <v>17</v>
      </c>
      <c r="F5" s="26">
        <v>772104981</v>
      </c>
      <c r="G5" s="33">
        <v>40</v>
      </c>
      <c r="H5" s="33">
        <v>34</v>
      </c>
      <c r="I5" s="33">
        <v>32</v>
      </c>
      <c r="J5" s="139">
        <v>58</v>
      </c>
      <c r="K5" s="35">
        <f t="shared" si="1"/>
        <v>164</v>
      </c>
      <c r="L5" s="26">
        <v>240</v>
      </c>
      <c r="M5" s="32">
        <f>K5/L5</f>
        <v>0.68333333333333335</v>
      </c>
      <c r="N5" s="26">
        <v>100000</v>
      </c>
      <c r="O5" s="50">
        <f t="shared" si="2"/>
        <v>68333.333333333328</v>
      </c>
      <c r="P5" s="100"/>
      <c r="Q5" s="38">
        <v>49</v>
      </c>
      <c r="R5" s="38">
        <v>25</v>
      </c>
      <c r="S5" s="38">
        <v>19</v>
      </c>
      <c r="T5" s="38">
        <v>19</v>
      </c>
      <c r="U5" s="42">
        <f t="shared" si="3"/>
        <v>112</v>
      </c>
      <c r="V5" s="26">
        <v>120</v>
      </c>
      <c r="W5" s="32">
        <f>+U5/V5</f>
        <v>0.93333333333333335</v>
      </c>
      <c r="X5" s="26">
        <v>50000</v>
      </c>
      <c r="Y5" s="50">
        <f t="shared" ref="Y5:Y25" si="4">+W5*X5</f>
        <v>46666.666666666664</v>
      </c>
      <c r="Z5" s="101"/>
      <c r="AA5" s="102">
        <f t="shared" si="0"/>
        <v>115000</v>
      </c>
      <c r="AB5" s="110"/>
      <c r="AC5" s="1"/>
      <c r="AD5" s="100"/>
      <c r="AE5" s="26"/>
    </row>
    <row r="6" spans="1:31">
      <c r="A6" s="200"/>
      <c r="B6" s="200"/>
      <c r="C6" s="1" t="s">
        <v>15</v>
      </c>
      <c r="D6" s="1" t="s">
        <v>18</v>
      </c>
      <c r="E6" s="1" t="s">
        <v>19</v>
      </c>
      <c r="F6" s="26">
        <v>778525987</v>
      </c>
      <c r="G6" s="33">
        <v>44</v>
      </c>
      <c r="H6" s="33">
        <v>39</v>
      </c>
      <c r="I6" s="33">
        <v>42</v>
      </c>
      <c r="J6" s="139">
        <v>44</v>
      </c>
      <c r="K6" s="35">
        <f t="shared" si="1"/>
        <v>169</v>
      </c>
      <c r="L6" s="26">
        <v>240</v>
      </c>
      <c r="M6" s="32">
        <f>K6/L6</f>
        <v>0.70416666666666672</v>
      </c>
      <c r="N6" s="26">
        <v>100000</v>
      </c>
      <c r="O6" s="50">
        <f t="shared" si="2"/>
        <v>70416.666666666672</v>
      </c>
      <c r="P6" s="100"/>
      <c r="Q6" s="38">
        <v>33</v>
      </c>
      <c r="R6" s="38">
        <v>32</v>
      </c>
      <c r="S6" s="38">
        <v>22</v>
      </c>
      <c r="T6" s="38">
        <v>22</v>
      </c>
      <c r="U6" s="42">
        <f t="shared" si="3"/>
        <v>109</v>
      </c>
      <c r="V6" s="26">
        <v>120</v>
      </c>
      <c r="W6" s="32">
        <f>+U6/V6</f>
        <v>0.90833333333333333</v>
      </c>
      <c r="X6" s="26">
        <v>50000</v>
      </c>
      <c r="Y6" s="50">
        <f t="shared" si="4"/>
        <v>45416.666666666664</v>
      </c>
      <c r="Z6" s="101"/>
      <c r="AA6" s="102">
        <f t="shared" si="0"/>
        <v>115833.33333333334</v>
      </c>
      <c r="AB6" s="110"/>
      <c r="AC6" s="1"/>
      <c r="AD6" s="100"/>
      <c r="AE6" s="26"/>
    </row>
    <row r="7" spans="1:31" s="137" customFormat="1" ht="42">
      <c r="A7" s="140" t="s">
        <v>7</v>
      </c>
      <c r="B7" s="99" t="s">
        <v>110</v>
      </c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1"/>
      <c r="N7" s="140"/>
      <c r="O7" s="142">
        <f>SUM(O3:O6)</f>
        <v>277500</v>
      </c>
      <c r="P7" s="143"/>
      <c r="Q7" s="140"/>
      <c r="R7" s="140"/>
      <c r="S7" s="140"/>
      <c r="T7" s="140"/>
      <c r="U7" s="144"/>
      <c r="V7" s="140"/>
      <c r="W7" s="141"/>
      <c r="X7" s="140"/>
      <c r="Y7" s="142">
        <f>SUM(Y3:Y6)</f>
        <v>187083.33333333331</v>
      </c>
      <c r="Z7" s="148"/>
      <c r="AA7" s="142">
        <f t="shared" si="0"/>
        <v>464583.33333333331</v>
      </c>
      <c r="AB7" s="127"/>
      <c r="AC7" s="140">
        <v>150000</v>
      </c>
      <c r="AD7" s="143"/>
      <c r="AE7" s="145">
        <f>+AA7+AC7</f>
        <v>614583.33333333326</v>
      </c>
    </row>
    <row r="8" spans="1:31">
      <c r="A8" s="199" t="s">
        <v>20</v>
      </c>
      <c r="B8" s="199" t="s">
        <v>21</v>
      </c>
      <c r="C8" s="1" t="s">
        <v>22</v>
      </c>
      <c r="D8" s="1" t="s">
        <v>23</v>
      </c>
      <c r="E8" s="1" t="s">
        <v>24</v>
      </c>
      <c r="F8" s="88" t="s">
        <v>25</v>
      </c>
      <c r="G8" s="33">
        <v>44</v>
      </c>
      <c r="H8" s="33">
        <v>39</v>
      </c>
      <c r="I8" s="33">
        <v>44</v>
      </c>
      <c r="J8" s="139">
        <v>27</v>
      </c>
      <c r="K8" s="35">
        <f t="shared" si="1"/>
        <v>154</v>
      </c>
      <c r="L8" s="26">
        <v>240</v>
      </c>
      <c r="M8" s="32">
        <f>K8/L8</f>
        <v>0.64166666666666672</v>
      </c>
      <c r="N8" s="26">
        <v>100000</v>
      </c>
      <c r="O8" s="50">
        <f t="shared" si="2"/>
        <v>64166.666666666672</v>
      </c>
      <c r="P8" s="100"/>
      <c r="Q8" s="38">
        <v>15</v>
      </c>
      <c r="R8" s="38">
        <v>17</v>
      </c>
      <c r="S8" s="38">
        <v>10</v>
      </c>
      <c r="T8" s="38">
        <v>10</v>
      </c>
      <c r="U8" s="42">
        <f t="shared" si="3"/>
        <v>52</v>
      </c>
      <c r="V8" s="26">
        <v>120</v>
      </c>
      <c r="W8" s="32">
        <f>+U8/V8</f>
        <v>0.43333333333333335</v>
      </c>
      <c r="X8" s="26">
        <v>50000</v>
      </c>
      <c r="Y8" s="50">
        <f t="shared" si="4"/>
        <v>21666.666666666668</v>
      </c>
      <c r="Z8" s="101"/>
      <c r="AA8" s="102">
        <f t="shared" si="0"/>
        <v>85833.333333333343</v>
      </c>
      <c r="AB8" s="110"/>
      <c r="AC8" s="1"/>
      <c r="AD8" s="100"/>
      <c r="AE8" s="26"/>
    </row>
    <row r="9" spans="1:31">
      <c r="A9" s="199"/>
      <c r="B9" s="199"/>
      <c r="C9" s="1" t="s">
        <v>26</v>
      </c>
      <c r="D9" s="1" t="s">
        <v>27</v>
      </c>
      <c r="E9" s="1" t="s">
        <v>28</v>
      </c>
      <c r="F9" s="88" t="s">
        <v>29</v>
      </c>
      <c r="G9" s="33">
        <v>43</v>
      </c>
      <c r="H9" s="33">
        <v>41</v>
      </c>
      <c r="I9" s="33">
        <v>41</v>
      </c>
      <c r="J9" s="139">
        <v>34</v>
      </c>
      <c r="K9" s="35">
        <f t="shared" si="1"/>
        <v>159</v>
      </c>
      <c r="L9" s="26">
        <v>240</v>
      </c>
      <c r="M9" s="32">
        <f>K9/L9</f>
        <v>0.66249999999999998</v>
      </c>
      <c r="N9" s="26">
        <v>100000</v>
      </c>
      <c r="O9" s="50">
        <f t="shared" si="2"/>
        <v>66250</v>
      </c>
      <c r="P9" s="100"/>
      <c r="Q9" s="38">
        <v>14</v>
      </c>
      <c r="R9" s="38">
        <v>10</v>
      </c>
      <c r="S9" s="38">
        <v>6</v>
      </c>
      <c r="T9" s="38">
        <v>6</v>
      </c>
      <c r="U9" s="42">
        <f t="shared" si="3"/>
        <v>36</v>
      </c>
      <c r="V9" s="26">
        <v>120</v>
      </c>
      <c r="W9" s="32">
        <f>+U9/V9</f>
        <v>0.3</v>
      </c>
      <c r="X9" s="26">
        <v>50000</v>
      </c>
      <c r="Y9" s="50">
        <f t="shared" si="4"/>
        <v>15000</v>
      </c>
      <c r="Z9" s="101"/>
      <c r="AA9" s="102">
        <f t="shared" si="0"/>
        <v>81250</v>
      </c>
      <c r="AB9" s="110"/>
      <c r="AC9" s="1"/>
      <c r="AD9" s="100"/>
      <c r="AE9" s="26"/>
    </row>
    <row r="10" spans="1:31">
      <c r="A10" s="199"/>
      <c r="B10" s="199"/>
      <c r="C10" s="1" t="s">
        <v>30</v>
      </c>
      <c r="D10" s="1" t="s">
        <v>31</v>
      </c>
      <c r="E10" s="1" t="s">
        <v>32</v>
      </c>
      <c r="F10" s="88" t="s">
        <v>33</v>
      </c>
      <c r="G10" s="33">
        <v>39</v>
      </c>
      <c r="H10" s="33">
        <v>36</v>
      </c>
      <c r="I10" s="33">
        <v>39</v>
      </c>
      <c r="J10" s="139">
        <v>33</v>
      </c>
      <c r="K10" s="35">
        <f t="shared" si="1"/>
        <v>147</v>
      </c>
      <c r="L10" s="26">
        <v>240</v>
      </c>
      <c r="M10" s="32">
        <f>K10/L10</f>
        <v>0.61250000000000004</v>
      </c>
      <c r="N10" s="26">
        <v>100000</v>
      </c>
      <c r="O10" s="50">
        <f t="shared" si="2"/>
        <v>61250.000000000007</v>
      </c>
      <c r="P10" s="100"/>
      <c r="Q10" s="38">
        <v>22</v>
      </c>
      <c r="R10" s="38">
        <v>16</v>
      </c>
      <c r="S10" s="38">
        <v>17</v>
      </c>
      <c r="T10" s="38">
        <v>17</v>
      </c>
      <c r="U10" s="42">
        <f t="shared" si="3"/>
        <v>72</v>
      </c>
      <c r="V10" s="26">
        <v>120</v>
      </c>
      <c r="W10" s="32">
        <f>+U10/V10</f>
        <v>0.6</v>
      </c>
      <c r="X10" s="26">
        <v>50000</v>
      </c>
      <c r="Y10" s="50">
        <f t="shared" si="4"/>
        <v>30000</v>
      </c>
      <c r="Z10" s="101"/>
      <c r="AA10" s="102">
        <f t="shared" si="0"/>
        <v>91250</v>
      </c>
      <c r="AB10" s="110"/>
      <c r="AC10" s="1"/>
      <c r="AD10" s="100"/>
      <c r="AE10" s="26"/>
    </row>
    <row r="11" spans="1:31">
      <c r="A11" s="199"/>
      <c r="B11" s="199"/>
      <c r="C11" s="1" t="s">
        <v>34</v>
      </c>
      <c r="D11" s="1" t="s">
        <v>35</v>
      </c>
      <c r="E11" s="1" t="s">
        <v>36</v>
      </c>
      <c r="F11" s="88" t="s">
        <v>37</v>
      </c>
      <c r="G11" s="33">
        <v>37</v>
      </c>
      <c r="H11" s="33">
        <v>29</v>
      </c>
      <c r="I11" s="33">
        <v>40</v>
      </c>
      <c r="J11" s="139">
        <v>36</v>
      </c>
      <c r="K11" s="35">
        <f t="shared" si="1"/>
        <v>142</v>
      </c>
      <c r="L11" s="26">
        <v>240</v>
      </c>
      <c r="M11" s="32">
        <f>K11/L11</f>
        <v>0.59166666666666667</v>
      </c>
      <c r="N11" s="26">
        <v>100000</v>
      </c>
      <c r="O11" s="50">
        <f t="shared" si="2"/>
        <v>59166.666666666664</v>
      </c>
      <c r="P11" s="100"/>
      <c r="Q11" s="38">
        <v>24</v>
      </c>
      <c r="R11" s="38">
        <v>11</v>
      </c>
      <c r="S11" s="38">
        <v>14</v>
      </c>
      <c r="T11" s="38">
        <v>14</v>
      </c>
      <c r="U11" s="42">
        <f t="shared" si="3"/>
        <v>63</v>
      </c>
      <c r="V11" s="26">
        <v>120</v>
      </c>
      <c r="W11" s="32">
        <f>+U11/V11</f>
        <v>0.52500000000000002</v>
      </c>
      <c r="X11" s="26">
        <v>50000</v>
      </c>
      <c r="Y11" s="50">
        <f t="shared" si="4"/>
        <v>26250</v>
      </c>
      <c r="Z11" s="101"/>
      <c r="AA11" s="102">
        <f t="shared" si="0"/>
        <v>85416.666666666657</v>
      </c>
      <c r="AB11" s="110"/>
      <c r="AC11" s="1"/>
      <c r="AD11" s="100"/>
      <c r="AE11" s="26"/>
    </row>
    <row r="12" spans="1:31" s="137" customFormat="1" ht="70">
      <c r="A12" s="140" t="s">
        <v>116</v>
      </c>
      <c r="B12" s="99" t="s">
        <v>111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1"/>
      <c r="N12" s="140"/>
      <c r="O12" s="142">
        <f>SUM(O8:O11)</f>
        <v>250833.33333333334</v>
      </c>
      <c r="P12" s="143"/>
      <c r="Q12" s="140"/>
      <c r="R12" s="140"/>
      <c r="S12" s="140"/>
      <c r="T12" s="140"/>
      <c r="U12" s="144"/>
      <c r="V12" s="140"/>
      <c r="W12" s="141"/>
      <c r="X12" s="140"/>
      <c r="Y12" s="142">
        <f>SUM(Y8:Y11)</f>
        <v>92916.666666666672</v>
      </c>
      <c r="Z12" s="148"/>
      <c r="AA12" s="142">
        <f t="shared" si="0"/>
        <v>343750</v>
      </c>
      <c r="AB12" s="127"/>
      <c r="AC12" s="140">
        <v>150000</v>
      </c>
      <c r="AD12" s="143"/>
      <c r="AE12" s="145">
        <f>+AA12+AC12</f>
        <v>493750</v>
      </c>
    </row>
    <row r="13" spans="1:31">
      <c r="A13" s="199" t="s">
        <v>38</v>
      </c>
      <c r="B13" s="199" t="s">
        <v>39</v>
      </c>
      <c r="C13" s="1" t="s">
        <v>40</v>
      </c>
      <c r="D13" s="1" t="s">
        <v>41</v>
      </c>
      <c r="E13" s="1" t="s">
        <v>42</v>
      </c>
      <c r="F13" s="26" t="s">
        <v>43</v>
      </c>
      <c r="G13" s="33">
        <v>65</v>
      </c>
      <c r="H13" s="33">
        <v>63</v>
      </c>
      <c r="I13" s="33">
        <v>63</v>
      </c>
      <c r="J13" s="139">
        <v>49</v>
      </c>
      <c r="K13" s="35">
        <f t="shared" si="1"/>
        <v>240</v>
      </c>
      <c r="L13" s="26">
        <v>240</v>
      </c>
      <c r="M13" s="36">
        <f>K13/L13</f>
        <v>1</v>
      </c>
      <c r="N13" s="26">
        <v>100000</v>
      </c>
      <c r="O13" s="51">
        <f>N13</f>
        <v>100000</v>
      </c>
      <c r="P13" s="100"/>
      <c r="Q13" s="38">
        <v>38</v>
      </c>
      <c r="R13" s="38">
        <v>30</v>
      </c>
      <c r="S13" s="38">
        <v>18</v>
      </c>
      <c r="T13" s="38">
        <v>18</v>
      </c>
      <c r="U13" s="42">
        <f t="shared" si="3"/>
        <v>104</v>
      </c>
      <c r="V13" s="26">
        <v>120</v>
      </c>
      <c r="W13" s="32">
        <f>+U13/V13</f>
        <v>0.8666666666666667</v>
      </c>
      <c r="X13" s="26">
        <v>50000</v>
      </c>
      <c r="Y13" s="50">
        <f t="shared" si="4"/>
        <v>43333.333333333336</v>
      </c>
      <c r="Z13" s="101"/>
      <c r="AA13" s="102">
        <f t="shared" si="0"/>
        <v>143333.33333333334</v>
      </c>
      <c r="AB13" s="110"/>
      <c r="AC13" s="1"/>
      <c r="AD13" s="100"/>
      <c r="AE13" s="26"/>
    </row>
    <row r="14" spans="1:31">
      <c r="A14" s="199"/>
      <c r="B14" s="199"/>
      <c r="C14" s="1" t="s">
        <v>22</v>
      </c>
      <c r="D14" s="1" t="s">
        <v>44</v>
      </c>
      <c r="E14" s="1" t="s">
        <v>45</v>
      </c>
      <c r="F14" s="103" t="s">
        <v>46</v>
      </c>
      <c r="G14" s="33">
        <v>71</v>
      </c>
      <c r="H14" s="33">
        <v>69</v>
      </c>
      <c r="I14" s="33">
        <v>73</v>
      </c>
      <c r="J14" s="139">
        <v>50</v>
      </c>
      <c r="K14" s="35">
        <f t="shared" si="1"/>
        <v>263</v>
      </c>
      <c r="L14" s="26">
        <v>240</v>
      </c>
      <c r="M14" s="36">
        <f>K14/L14</f>
        <v>1.0958333333333334</v>
      </c>
      <c r="N14" s="26">
        <v>100000</v>
      </c>
      <c r="O14" s="51">
        <f t="shared" ref="O14:O16" si="5">N14</f>
        <v>100000</v>
      </c>
      <c r="P14" s="100"/>
      <c r="Q14" s="38">
        <v>40</v>
      </c>
      <c r="R14" s="38">
        <v>32</v>
      </c>
      <c r="S14" s="38">
        <v>31</v>
      </c>
      <c r="T14" s="38">
        <v>31</v>
      </c>
      <c r="U14" s="40">
        <f t="shared" si="3"/>
        <v>134</v>
      </c>
      <c r="V14" s="26">
        <v>120</v>
      </c>
      <c r="W14" s="53">
        <f>+U14/V14</f>
        <v>1.1166666666666667</v>
      </c>
      <c r="X14" s="26">
        <v>50000</v>
      </c>
      <c r="Y14" s="54">
        <v>50000</v>
      </c>
      <c r="Z14" s="101"/>
      <c r="AA14" s="102">
        <f t="shared" si="0"/>
        <v>150000</v>
      </c>
      <c r="AB14" s="110"/>
      <c r="AC14" s="1"/>
      <c r="AD14" s="100"/>
      <c r="AE14" s="26"/>
    </row>
    <row r="15" spans="1:31">
      <c r="A15" s="199"/>
      <c r="B15" s="199"/>
      <c r="C15" s="1" t="s">
        <v>47</v>
      </c>
      <c r="D15" s="1" t="s">
        <v>48</v>
      </c>
      <c r="E15" s="1" t="s">
        <v>49</v>
      </c>
      <c r="F15" s="26">
        <v>778528509</v>
      </c>
      <c r="G15" s="33">
        <v>63</v>
      </c>
      <c r="H15" s="33">
        <v>79</v>
      </c>
      <c r="I15" s="33">
        <v>73</v>
      </c>
      <c r="J15" s="139">
        <v>49</v>
      </c>
      <c r="K15" s="35">
        <f t="shared" si="1"/>
        <v>264</v>
      </c>
      <c r="L15" s="26">
        <v>240</v>
      </c>
      <c r="M15" s="36">
        <f>K15/L15</f>
        <v>1.1000000000000001</v>
      </c>
      <c r="N15" s="26">
        <v>100000</v>
      </c>
      <c r="O15" s="51">
        <f t="shared" si="5"/>
        <v>100000</v>
      </c>
      <c r="P15" s="100"/>
      <c r="Q15" s="38">
        <v>15</v>
      </c>
      <c r="R15" s="38">
        <v>19</v>
      </c>
      <c r="S15" s="38">
        <v>7</v>
      </c>
      <c r="T15" s="38">
        <v>7</v>
      </c>
      <c r="U15" s="42">
        <f t="shared" si="3"/>
        <v>48</v>
      </c>
      <c r="V15" s="26">
        <v>120</v>
      </c>
      <c r="W15" s="32">
        <f>+U15/V15</f>
        <v>0.4</v>
      </c>
      <c r="X15" s="26">
        <v>50000</v>
      </c>
      <c r="Y15" s="50">
        <f t="shared" si="4"/>
        <v>20000</v>
      </c>
      <c r="Z15" s="101"/>
      <c r="AA15" s="102">
        <f t="shared" si="0"/>
        <v>120000</v>
      </c>
      <c r="AB15" s="110"/>
      <c r="AC15" s="1"/>
      <c r="AD15" s="100"/>
      <c r="AE15" s="26"/>
    </row>
    <row r="16" spans="1:31">
      <c r="A16" s="199"/>
      <c r="B16" s="199"/>
      <c r="C16" s="1" t="s">
        <v>50</v>
      </c>
      <c r="D16" s="1" t="s">
        <v>23</v>
      </c>
      <c r="E16" s="1" t="s">
        <v>51</v>
      </c>
      <c r="F16" s="26">
        <v>787655222</v>
      </c>
      <c r="G16" s="33">
        <v>79</v>
      </c>
      <c r="H16" s="33">
        <v>75</v>
      </c>
      <c r="I16" s="33">
        <v>68</v>
      </c>
      <c r="J16" s="139">
        <v>52</v>
      </c>
      <c r="K16" s="35">
        <f t="shared" si="1"/>
        <v>274</v>
      </c>
      <c r="L16" s="26">
        <v>240</v>
      </c>
      <c r="M16" s="36">
        <f>K16/L16</f>
        <v>1.1416666666666666</v>
      </c>
      <c r="N16" s="26">
        <v>100000</v>
      </c>
      <c r="O16" s="51">
        <f t="shared" si="5"/>
        <v>100000</v>
      </c>
      <c r="P16" s="100"/>
      <c r="Q16" s="38">
        <v>47</v>
      </c>
      <c r="R16" s="38">
        <v>32</v>
      </c>
      <c r="S16" s="38">
        <v>28</v>
      </c>
      <c r="T16" s="38">
        <v>28</v>
      </c>
      <c r="U16" s="40">
        <f t="shared" si="3"/>
        <v>135</v>
      </c>
      <c r="V16" s="26">
        <v>120</v>
      </c>
      <c r="W16" s="53">
        <f>+U16/V16</f>
        <v>1.125</v>
      </c>
      <c r="X16" s="26">
        <v>50000</v>
      </c>
      <c r="Y16" s="54">
        <v>50000</v>
      </c>
      <c r="Z16" s="101"/>
      <c r="AA16" s="102">
        <f t="shared" si="0"/>
        <v>150000</v>
      </c>
      <c r="AB16" s="110"/>
      <c r="AC16" s="1"/>
      <c r="AD16" s="100"/>
      <c r="AE16" s="26"/>
    </row>
    <row r="17" spans="1:31" ht="56">
      <c r="A17" s="91" t="s">
        <v>38</v>
      </c>
      <c r="B17" s="92" t="s">
        <v>112</v>
      </c>
      <c r="C17" s="95"/>
      <c r="D17" s="95"/>
      <c r="E17" s="95"/>
      <c r="F17" s="94"/>
      <c r="G17" s="94"/>
      <c r="H17" s="94"/>
      <c r="I17" s="94"/>
      <c r="J17" s="95"/>
      <c r="K17" s="94"/>
      <c r="L17" s="94"/>
      <c r="M17" s="96"/>
      <c r="N17" s="94"/>
      <c r="O17" s="97">
        <f>SUM(O13:O16)</f>
        <v>400000</v>
      </c>
      <c r="P17" s="100"/>
      <c r="Q17" s="94"/>
      <c r="R17" s="94"/>
      <c r="S17" s="94"/>
      <c r="T17" s="94"/>
      <c r="U17" s="98"/>
      <c r="V17" s="94"/>
      <c r="W17" s="96"/>
      <c r="X17" s="94"/>
      <c r="Y17" s="97">
        <f>SUM(Y13:Y16)</f>
        <v>163333.33333333334</v>
      </c>
      <c r="Z17" s="101"/>
      <c r="AA17" s="97">
        <f t="shared" si="0"/>
        <v>563333.33333333337</v>
      </c>
      <c r="AB17" s="110"/>
      <c r="AC17" s="95">
        <v>150000</v>
      </c>
      <c r="AD17" s="100"/>
      <c r="AE17" s="146">
        <f>+AA17+AC17</f>
        <v>713333.33333333337</v>
      </c>
    </row>
    <row r="18" spans="1:31">
      <c r="A18" s="199" t="s">
        <v>52</v>
      </c>
      <c r="B18" s="199" t="s">
        <v>53</v>
      </c>
      <c r="C18" s="1" t="s">
        <v>54</v>
      </c>
      <c r="D18" s="1" t="s">
        <v>55</v>
      </c>
      <c r="E18" s="1" t="s">
        <v>56</v>
      </c>
      <c r="F18" s="104" t="s">
        <v>57</v>
      </c>
      <c r="G18" s="33">
        <v>32</v>
      </c>
      <c r="H18" s="33">
        <v>24</v>
      </c>
      <c r="I18" s="33">
        <v>77</v>
      </c>
      <c r="J18" s="139">
        <v>68</v>
      </c>
      <c r="K18" s="35">
        <f t="shared" si="1"/>
        <v>201</v>
      </c>
      <c r="L18" s="26">
        <v>240</v>
      </c>
      <c r="M18" s="32">
        <f>K18/L18</f>
        <v>0.83750000000000002</v>
      </c>
      <c r="N18" s="26">
        <v>100000</v>
      </c>
      <c r="O18" s="50">
        <f>M18*N18</f>
        <v>83750</v>
      </c>
      <c r="P18" s="100"/>
      <c r="Q18" s="38">
        <v>39</v>
      </c>
      <c r="R18" s="38">
        <v>33</v>
      </c>
      <c r="S18" s="38">
        <v>42</v>
      </c>
      <c r="T18" s="38">
        <v>42</v>
      </c>
      <c r="U18" s="40">
        <f t="shared" si="3"/>
        <v>156</v>
      </c>
      <c r="V18" s="26">
        <v>120</v>
      </c>
      <c r="W18" s="53">
        <f>+U18/V18</f>
        <v>1.3</v>
      </c>
      <c r="X18" s="26">
        <v>50000</v>
      </c>
      <c r="Y18" s="54">
        <v>50000</v>
      </c>
      <c r="Z18" s="101"/>
      <c r="AA18" s="102">
        <f t="shared" si="0"/>
        <v>133750</v>
      </c>
      <c r="AB18" s="110"/>
      <c r="AC18" s="1"/>
      <c r="AD18" s="100"/>
      <c r="AE18" s="26"/>
    </row>
    <row r="19" spans="1:31">
      <c r="A19" s="199"/>
      <c r="B19" s="199"/>
      <c r="C19" s="1" t="s">
        <v>58</v>
      </c>
      <c r="D19" s="1" t="s">
        <v>59</v>
      </c>
      <c r="E19" s="1" t="s">
        <v>60</v>
      </c>
      <c r="F19" s="104" t="s">
        <v>61</v>
      </c>
      <c r="G19" s="33">
        <v>21</v>
      </c>
      <c r="H19" s="33">
        <v>12</v>
      </c>
      <c r="I19" s="33">
        <v>27</v>
      </c>
      <c r="J19" s="139">
        <v>17</v>
      </c>
      <c r="K19" s="35">
        <f t="shared" si="1"/>
        <v>77</v>
      </c>
      <c r="L19" s="26">
        <v>240</v>
      </c>
      <c r="M19" s="32">
        <f>K19/L19</f>
        <v>0.32083333333333336</v>
      </c>
      <c r="N19" s="26">
        <v>100000</v>
      </c>
      <c r="O19" s="50">
        <f t="shared" ref="O19:O23" si="6">M19*N19</f>
        <v>32083.333333333336</v>
      </c>
      <c r="P19" s="100"/>
      <c r="Q19" s="38">
        <v>33</v>
      </c>
      <c r="R19" s="38">
        <v>31</v>
      </c>
      <c r="S19" s="38">
        <v>36</v>
      </c>
      <c r="T19" s="38">
        <v>36</v>
      </c>
      <c r="U19" s="40">
        <f t="shared" si="3"/>
        <v>136</v>
      </c>
      <c r="V19" s="26">
        <v>120</v>
      </c>
      <c r="W19" s="53">
        <f>+U19/V19</f>
        <v>1.1333333333333333</v>
      </c>
      <c r="X19" s="26">
        <v>50000</v>
      </c>
      <c r="Y19" s="54">
        <v>50000</v>
      </c>
      <c r="Z19" s="101"/>
      <c r="AA19" s="102">
        <f t="shared" si="0"/>
        <v>82083.333333333343</v>
      </c>
      <c r="AB19" s="110"/>
      <c r="AC19" s="1"/>
      <c r="AD19" s="100"/>
      <c r="AE19" s="26"/>
    </row>
    <row r="20" spans="1:31">
      <c r="A20" s="199"/>
      <c r="B20" s="199"/>
      <c r="C20" s="1" t="s">
        <v>62</v>
      </c>
      <c r="D20" s="1" t="s">
        <v>23</v>
      </c>
      <c r="E20" s="1" t="s">
        <v>63</v>
      </c>
      <c r="F20" s="104" t="s">
        <v>64</v>
      </c>
      <c r="G20" s="33">
        <v>28</v>
      </c>
      <c r="H20" s="33">
        <v>21</v>
      </c>
      <c r="I20" s="33">
        <v>45</v>
      </c>
      <c r="J20" s="139">
        <v>51</v>
      </c>
      <c r="K20" s="35">
        <f t="shared" si="1"/>
        <v>145</v>
      </c>
      <c r="L20" s="26">
        <v>240</v>
      </c>
      <c r="M20" s="32">
        <f>K20/L20</f>
        <v>0.60416666666666663</v>
      </c>
      <c r="N20" s="26">
        <v>100000</v>
      </c>
      <c r="O20" s="50">
        <f t="shared" si="6"/>
        <v>60416.666666666664</v>
      </c>
      <c r="P20" s="100"/>
      <c r="Q20" s="38">
        <v>27</v>
      </c>
      <c r="R20" s="38">
        <v>23</v>
      </c>
      <c r="S20" s="38">
        <v>13</v>
      </c>
      <c r="T20" s="38">
        <v>13</v>
      </c>
      <c r="U20" s="42">
        <f t="shared" si="3"/>
        <v>76</v>
      </c>
      <c r="V20" s="26">
        <v>120</v>
      </c>
      <c r="W20" s="32">
        <f>+U20/V20</f>
        <v>0.6333333333333333</v>
      </c>
      <c r="X20" s="26">
        <v>50000</v>
      </c>
      <c r="Y20" s="54">
        <v>50000</v>
      </c>
      <c r="Z20" s="101"/>
      <c r="AA20" s="102">
        <f t="shared" si="0"/>
        <v>110416.66666666666</v>
      </c>
      <c r="AB20" s="110"/>
      <c r="AC20" s="1"/>
      <c r="AD20" s="100"/>
      <c r="AE20" s="26"/>
    </row>
    <row r="21" spans="1:31">
      <c r="A21" s="199"/>
      <c r="B21" s="199"/>
      <c r="C21" s="105" t="s">
        <v>65</v>
      </c>
      <c r="D21" s="105" t="s">
        <v>66</v>
      </c>
      <c r="E21" s="105" t="s">
        <v>92</v>
      </c>
      <c r="F21" s="104" t="s">
        <v>67</v>
      </c>
      <c r="G21" s="33">
        <v>46</v>
      </c>
      <c r="H21" s="33">
        <v>18</v>
      </c>
      <c r="I21" s="33">
        <v>84</v>
      </c>
      <c r="J21" s="139">
        <v>61</v>
      </c>
      <c r="K21" s="35">
        <f t="shared" si="1"/>
        <v>209</v>
      </c>
      <c r="L21" s="26">
        <v>240</v>
      </c>
      <c r="M21" s="32">
        <f>K21/L21</f>
        <v>0.87083333333333335</v>
      </c>
      <c r="N21" s="26">
        <v>100000</v>
      </c>
      <c r="O21" s="50">
        <f t="shared" si="6"/>
        <v>87083.333333333328</v>
      </c>
      <c r="P21" s="100"/>
      <c r="Q21" s="38">
        <v>20</v>
      </c>
      <c r="R21" s="38">
        <v>20</v>
      </c>
      <c r="S21" s="38">
        <v>32</v>
      </c>
      <c r="T21" s="38">
        <v>32</v>
      </c>
      <c r="U21" s="42">
        <f t="shared" si="3"/>
        <v>104</v>
      </c>
      <c r="V21" s="26">
        <v>120</v>
      </c>
      <c r="W21" s="32">
        <f>+U21/V21</f>
        <v>0.8666666666666667</v>
      </c>
      <c r="X21" s="26">
        <v>50000</v>
      </c>
      <c r="Y21" s="50">
        <f t="shared" si="4"/>
        <v>43333.333333333336</v>
      </c>
      <c r="Z21" s="101"/>
      <c r="AA21" s="102">
        <f t="shared" si="0"/>
        <v>130416.66666666666</v>
      </c>
      <c r="AB21" s="110"/>
      <c r="AC21" s="1"/>
      <c r="AD21" s="100"/>
      <c r="AE21" s="26"/>
    </row>
    <row r="22" spans="1:31" ht="84">
      <c r="A22" s="91" t="s">
        <v>117</v>
      </c>
      <c r="B22" s="92" t="s">
        <v>113</v>
      </c>
      <c r="C22" s="106"/>
      <c r="D22" s="106"/>
      <c r="E22" s="106"/>
      <c r="F22" s="107"/>
      <c r="G22" s="94"/>
      <c r="H22" s="94"/>
      <c r="I22" s="94"/>
      <c r="J22" s="95"/>
      <c r="K22" s="94"/>
      <c r="L22" s="94"/>
      <c r="M22" s="96"/>
      <c r="N22" s="94"/>
      <c r="O22" s="97">
        <f>SUM(O18:O21)</f>
        <v>263333.33333333331</v>
      </c>
      <c r="P22" s="100"/>
      <c r="Q22" s="94"/>
      <c r="R22" s="94"/>
      <c r="S22" s="94"/>
      <c r="T22" s="94"/>
      <c r="U22" s="98"/>
      <c r="V22" s="94"/>
      <c r="W22" s="96"/>
      <c r="X22" s="94"/>
      <c r="Y22" s="97">
        <f>SUM(Y18:Y21)</f>
        <v>193333.33333333334</v>
      </c>
      <c r="Z22" s="101"/>
      <c r="AA22" s="97">
        <f t="shared" si="0"/>
        <v>456666.66666666663</v>
      </c>
      <c r="AB22" s="110"/>
      <c r="AC22" s="95">
        <v>150000</v>
      </c>
      <c r="AD22" s="100"/>
      <c r="AE22" s="146">
        <f>+AA22+AC22</f>
        <v>606666.66666666663</v>
      </c>
    </row>
    <row r="23" spans="1:31" ht="14.5">
      <c r="A23" s="199" t="s">
        <v>68</v>
      </c>
      <c r="B23" s="199" t="s">
        <v>69</v>
      </c>
      <c r="C23" s="1" t="s">
        <v>70</v>
      </c>
      <c r="D23" s="1" t="s">
        <v>27</v>
      </c>
      <c r="E23" s="1" t="s">
        <v>71</v>
      </c>
      <c r="F23" s="108">
        <v>786241255</v>
      </c>
      <c r="G23" s="33">
        <v>54</v>
      </c>
      <c r="H23" s="33">
        <v>58</v>
      </c>
      <c r="I23" s="33">
        <v>0</v>
      </c>
      <c r="J23" s="139">
        <v>56</v>
      </c>
      <c r="K23" s="35">
        <f t="shared" si="1"/>
        <v>168</v>
      </c>
      <c r="L23" s="26">
        <v>240</v>
      </c>
      <c r="M23" s="32">
        <f>K23/L23</f>
        <v>0.7</v>
      </c>
      <c r="N23" s="26">
        <v>100000</v>
      </c>
      <c r="O23" s="50">
        <f t="shared" si="6"/>
        <v>70000</v>
      </c>
      <c r="P23" s="100"/>
      <c r="Q23" s="38">
        <v>33</v>
      </c>
      <c r="R23" s="38">
        <v>34</v>
      </c>
      <c r="S23" s="38">
        <v>0</v>
      </c>
      <c r="T23" s="38">
        <v>0</v>
      </c>
      <c r="U23" s="42">
        <f t="shared" si="3"/>
        <v>67</v>
      </c>
      <c r="V23" s="26">
        <v>120</v>
      </c>
      <c r="W23" s="32">
        <f>+U23/V23</f>
        <v>0.55833333333333335</v>
      </c>
      <c r="X23" s="26">
        <v>50000</v>
      </c>
      <c r="Y23" s="50">
        <f t="shared" si="4"/>
        <v>27916.666666666668</v>
      </c>
      <c r="Z23" s="101"/>
      <c r="AA23" s="102">
        <f t="shared" si="0"/>
        <v>97916.666666666672</v>
      </c>
      <c r="AB23" s="110"/>
      <c r="AC23" s="1"/>
      <c r="AD23" s="100"/>
      <c r="AE23" s="26"/>
    </row>
    <row r="24" spans="1:31" ht="14.5">
      <c r="A24" s="199"/>
      <c r="B24" s="199"/>
      <c r="C24" s="1" t="s">
        <v>72</v>
      </c>
      <c r="D24" s="1" t="s">
        <v>73</v>
      </c>
      <c r="E24" s="1" t="s">
        <v>74</v>
      </c>
      <c r="F24" s="108">
        <v>775812208</v>
      </c>
      <c r="G24" s="33">
        <v>57</v>
      </c>
      <c r="H24" s="33">
        <v>64</v>
      </c>
      <c r="I24" s="33">
        <v>83</v>
      </c>
      <c r="J24" s="139">
        <v>57</v>
      </c>
      <c r="K24" s="35">
        <f t="shared" si="1"/>
        <v>261</v>
      </c>
      <c r="L24" s="26">
        <v>240</v>
      </c>
      <c r="M24" s="36">
        <f>K24/L24</f>
        <v>1.0874999999999999</v>
      </c>
      <c r="N24" s="26">
        <v>100000</v>
      </c>
      <c r="O24" s="51">
        <f>N24</f>
        <v>100000</v>
      </c>
      <c r="P24" s="100"/>
      <c r="Q24" s="38">
        <v>36</v>
      </c>
      <c r="R24" s="38">
        <v>30</v>
      </c>
      <c r="S24" s="38">
        <v>51</v>
      </c>
      <c r="T24" s="38">
        <v>51</v>
      </c>
      <c r="U24" s="40">
        <f t="shared" si="3"/>
        <v>168</v>
      </c>
      <c r="V24" s="26">
        <v>120</v>
      </c>
      <c r="W24" s="53">
        <f>+U24/V24</f>
        <v>1.4</v>
      </c>
      <c r="X24" s="26">
        <v>50000</v>
      </c>
      <c r="Y24" s="54">
        <v>50000</v>
      </c>
      <c r="Z24" s="101"/>
      <c r="AA24" s="102">
        <f t="shared" si="0"/>
        <v>150000</v>
      </c>
      <c r="AB24" s="110"/>
      <c r="AC24" s="1"/>
      <c r="AD24" s="100"/>
      <c r="AE24" s="26"/>
    </row>
    <row r="25" spans="1:31" ht="14.5">
      <c r="A25" s="199"/>
      <c r="B25" s="199"/>
      <c r="C25" s="1" t="s">
        <v>75</v>
      </c>
      <c r="D25" s="1" t="s">
        <v>76</v>
      </c>
      <c r="E25" s="1" t="s">
        <v>77</v>
      </c>
      <c r="F25" s="108">
        <v>786241266</v>
      </c>
      <c r="G25" s="33">
        <v>57</v>
      </c>
      <c r="H25" s="33">
        <v>66</v>
      </c>
      <c r="I25" s="33">
        <v>86</v>
      </c>
      <c r="J25" s="139">
        <v>72</v>
      </c>
      <c r="K25" s="35">
        <f t="shared" si="1"/>
        <v>281</v>
      </c>
      <c r="L25" s="26">
        <v>240</v>
      </c>
      <c r="M25" s="36">
        <f>K25/L25</f>
        <v>1.1708333333333334</v>
      </c>
      <c r="N25" s="26">
        <v>100000</v>
      </c>
      <c r="O25" s="51">
        <f t="shared" ref="O25:O26" si="7">N25</f>
        <v>100000</v>
      </c>
      <c r="P25" s="100"/>
      <c r="Q25" s="38">
        <v>34</v>
      </c>
      <c r="R25" s="38">
        <v>21</v>
      </c>
      <c r="S25" s="38">
        <v>36</v>
      </c>
      <c r="T25" s="38">
        <v>36</v>
      </c>
      <c r="U25" s="40">
        <f t="shared" si="3"/>
        <v>127</v>
      </c>
      <c r="V25" s="26">
        <v>120</v>
      </c>
      <c r="W25" s="53">
        <f>+U25/V25</f>
        <v>1.0583333333333333</v>
      </c>
      <c r="X25" s="26">
        <v>50000</v>
      </c>
      <c r="Y25" s="50">
        <f t="shared" si="4"/>
        <v>52916.666666666664</v>
      </c>
      <c r="Z25" s="101"/>
      <c r="AA25" s="102">
        <f t="shared" si="0"/>
        <v>152916.66666666666</v>
      </c>
      <c r="AB25" s="110"/>
      <c r="AC25" s="1"/>
      <c r="AD25" s="100"/>
      <c r="AE25" s="26"/>
    </row>
    <row r="26" spans="1:31" ht="16" customHeight="1">
      <c r="A26" s="199"/>
      <c r="B26" s="199"/>
      <c r="C26" s="1" t="s">
        <v>78</v>
      </c>
      <c r="D26" s="1" t="s">
        <v>79</v>
      </c>
      <c r="E26" s="1" t="s">
        <v>80</v>
      </c>
      <c r="F26" s="108">
        <v>786239376</v>
      </c>
      <c r="G26" s="33">
        <v>66</v>
      </c>
      <c r="H26" s="33">
        <v>90</v>
      </c>
      <c r="I26" s="33">
        <v>118</v>
      </c>
      <c r="J26" s="139">
        <v>77</v>
      </c>
      <c r="K26" s="35">
        <f t="shared" si="1"/>
        <v>351</v>
      </c>
      <c r="L26" s="26">
        <v>240</v>
      </c>
      <c r="M26" s="36">
        <f>K26/L26</f>
        <v>1.4624999999999999</v>
      </c>
      <c r="N26" s="26">
        <v>100000</v>
      </c>
      <c r="O26" s="51">
        <f t="shared" si="7"/>
        <v>100000</v>
      </c>
      <c r="P26" s="100"/>
      <c r="Q26" s="38">
        <v>29</v>
      </c>
      <c r="R26" s="38">
        <v>37</v>
      </c>
      <c r="S26" s="38">
        <v>33</v>
      </c>
      <c r="T26" s="38">
        <v>33</v>
      </c>
      <c r="U26" s="40">
        <f t="shared" si="3"/>
        <v>132</v>
      </c>
      <c r="V26" s="26">
        <v>120</v>
      </c>
      <c r="W26" s="53">
        <f>+U26/V26</f>
        <v>1.1000000000000001</v>
      </c>
      <c r="X26" s="26">
        <v>50000</v>
      </c>
      <c r="Y26" s="54">
        <v>50000</v>
      </c>
      <c r="Z26" s="101"/>
      <c r="AA26" s="102">
        <f t="shared" si="0"/>
        <v>150000</v>
      </c>
      <c r="AB26" s="110"/>
      <c r="AC26" s="1"/>
      <c r="AD26" s="100"/>
      <c r="AE26" s="26"/>
    </row>
    <row r="27" spans="1:31" ht="70">
      <c r="A27" s="91" t="s">
        <v>118</v>
      </c>
      <c r="B27" s="92" t="s">
        <v>114</v>
      </c>
      <c r="C27" s="95"/>
      <c r="D27" s="95"/>
      <c r="E27" s="95"/>
      <c r="F27" s="109"/>
      <c r="G27" s="94"/>
      <c r="H27" s="94"/>
      <c r="I27" s="94"/>
      <c r="J27" s="95"/>
      <c r="K27" s="94"/>
      <c r="L27" s="94"/>
      <c r="M27" s="96"/>
      <c r="N27" s="94"/>
      <c r="O27" s="97">
        <f>SUM(O23:O26)</f>
        <v>370000</v>
      </c>
      <c r="P27" s="100"/>
      <c r="Q27" s="94"/>
      <c r="R27" s="94"/>
      <c r="S27" s="94"/>
      <c r="T27" s="94"/>
      <c r="U27" s="98"/>
      <c r="V27" s="94"/>
      <c r="W27" s="96"/>
      <c r="X27" s="94"/>
      <c r="Y27" s="97">
        <f>SUM(Y23:Y26)</f>
        <v>180833.33333333334</v>
      </c>
      <c r="Z27" s="101"/>
      <c r="AA27" s="97">
        <f t="shared" si="0"/>
        <v>550833.33333333337</v>
      </c>
      <c r="AB27" s="110"/>
      <c r="AC27" s="95">
        <v>150000</v>
      </c>
      <c r="AD27" s="100"/>
      <c r="AE27" s="146">
        <f>+AA27+AC27</f>
        <v>700833.33333333337</v>
      </c>
    </row>
    <row r="28" spans="1:31">
      <c r="A28" s="199" t="s">
        <v>81</v>
      </c>
      <c r="B28" s="199" t="s">
        <v>82</v>
      </c>
      <c r="C28" s="1" t="s">
        <v>83</v>
      </c>
      <c r="D28" s="1" t="s">
        <v>84</v>
      </c>
      <c r="E28" s="1" t="s">
        <v>85</v>
      </c>
      <c r="F28" s="88">
        <v>787095594</v>
      </c>
      <c r="G28" s="26"/>
      <c r="H28" s="26"/>
      <c r="I28" s="26">
        <v>64</v>
      </c>
      <c r="J28" s="1">
        <v>64</v>
      </c>
      <c r="K28" s="26">
        <f t="shared" si="1"/>
        <v>128</v>
      </c>
      <c r="L28" s="26">
        <v>120</v>
      </c>
      <c r="M28" s="36">
        <f>+K28/K28</f>
        <v>1</v>
      </c>
      <c r="N28" s="26">
        <v>50000</v>
      </c>
      <c r="O28" s="55">
        <f>N28</f>
        <v>50000</v>
      </c>
      <c r="P28" s="100"/>
      <c r="Q28" s="38"/>
      <c r="R28" s="38"/>
      <c r="S28" s="38">
        <v>18</v>
      </c>
      <c r="T28" s="38">
        <v>18</v>
      </c>
      <c r="U28" s="41">
        <f t="shared" si="3"/>
        <v>36</v>
      </c>
      <c r="V28" s="26">
        <v>60</v>
      </c>
      <c r="W28" s="32">
        <f>+U28/V28</f>
        <v>0.6</v>
      </c>
      <c r="X28" s="26">
        <v>25000</v>
      </c>
      <c r="Y28" s="50">
        <f>+W28*X28</f>
        <v>15000</v>
      </c>
      <c r="Z28" s="101"/>
      <c r="AA28" s="102">
        <f t="shared" si="0"/>
        <v>65000</v>
      </c>
      <c r="AB28" s="110"/>
      <c r="AC28" s="1"/>
      <c r="AD28" s="100"/>
      <c r="AE28" s="26"/>
    </row>
    <row r="29" spans="1:31">
      <c r="A29" s="199"/>
      <c r="B29" s="199"/>
      <c r="C29" s="1" t="s">
        <v>86</v>
      </c>
      <c r="D29" s="1" t="s">
        <v>87</v>
      </c>
      <c r="E29" s="1" t="s">
        <v>88</v>
      </c>
      <c r="F29" s="88">
        <v>787095584</v>
      </c>
      <c r="G29" s="26"/>
      <c r="H29" s="26"/>
      <c r="I29" s="26">
        <v>65</v>
      </c>
      <c r="J29" s="1">
        <v>46</v>
      </c>
      <c r="K29" s="26">
        <f t="shared" si="1"/>
        <v>111</v>
      </c>
      <c r="L29" s="26">
        <v>120</v>
      </c>
      <c r="M29" s="32">
        <f>+K29/L29</f>
        <v>0.92500000000000004</v>
      </c>
      <c r="N29" s="26">
        <v>50000</v>
      </c>
      <c r="O29" s="55">
        <f>N29*M29</f>
        <v>46250</v>
      </c>
      <c r="P29" s="100"/>
      <c r="Q29" s="38"/>
      <c r="R29" s="38"/>
      <c r="S29" s="38">
        <v>43</v>
      </c>
      <c r="T29" s="38">
        <v>43</v>
      </c>
      <c r="U29" s="41">
        <f t="shared" si="3"/>
        <v>86</v>
      </c>
      <c r="V29" s="26">
        <v>60</v>
      </c>
      <c r="W29" s="32">
        <f>+U29/V29</f>
        <v>1.4333333333333333</v>
      </c>
      <c r="X29" s="26">
        <v>25000</v>
      </c>
      <c r="Y29" s="113">
        <f>X29</f>
        <v>25000</v>
      </c>
      <c r="Z29" s="101"/>
      <c r="AA29" s="102">
        <f t="shared" si="0"/>
        <v>71250</v>
      </c>
      <c r="AB29" s="110"/>
      <c r="AC29" s="1"/>
      <c r="AD29" s="100"/>
      <c r="AE29" s="26"/>
    </row>
    <row r="30" spans="1:31">
      <c r="A30" s="199"/>
      <c r="B30" s="199"/>
      <c r="C30" s="1" t="s">
        <v>89</v>
      </c>
      <c r="D30" s="1" t="s">
        <v>31</v>
      </c>
      <c r="E30" s="1" t="s">
        <v>90</v>
      </c>
      <c r="F30" s="88">
        <v>782989910</v>
      </c>
      <c r="G30" s="26"/>
      <c r="H30" s="26"/>
      <c r="I30" s="26">
        <v>72</v>
      </c>
      <c r="J30" s="1">
        <v>72</v>
      </c>
      <c r="K30" s="26">
        <f t="shared" si="1"/>
        <v>144</v>
      </c>
      <c r="L30" s="26">
        <v>120</v>
      </c>
      <c r="M30" s="52">
        <f>+K30/L30</f>
        <v>1.2</v>
      </c>
      <c r="N30" s="26">
        <v>50000</v>
      </c>
      <c r="O30" s="55">
        <f>N30</f>
        <v>50000</v>
      </c>
      <c r="P30" s="100"/>
      <c r="Q30" s="38"/>
      <c r="R30" s="38"/>
      <c r="S30" s="38">
        <v>24</v>
      </c>
      <c r="T30" s="38">
        <v>24</v>
      </c>
      <c r="U30" s="41">
        <f t="shared" si="3"/>
        <v>48</v>
      </c>
      <c r="V30" s="26">
        <v>60</v>
      </c>
      <c r="W30" s="32">
        <f>+U30/V30</f>
        <v>0.8</v>
      </c>
      <c r="X30" s="26">
        <v>25000</v>
      </c>
      <c r="Y30" s="50">
        <f t="shared" ref="Y30:Y31" si="8">+W30*X30</f>
        <v>20000</v>
      </c>
      <c r="Z30" s="101"/>
      <c r="AA30" s="102">
        <f t="shared" si="0"/>
        <v>70000</v>
      </c>
      <c r="AB30" s="110"/>
      <c r="AC30" s="1"/>
      <c r="AD30" s="100"/>
      <c r="AE30" s="26"/>
    </row>
    <row r="31" spans="1:31">
      <c r="A31" s="199"/>
      <c r="B31" s="199"/>
      <c r="C31" s="1" t="s">
        <v>93</v>
      </c>
      <c r="D31" s="1" t="s">
        <v>94</v>
      </c>
      <c r="E31" s="1" t="s">
        <v>95</v>
      </c>
      <c r="F31" s="88">
        <v>781180981</v>
      </c>
      <c r="G31" s="26"/>
      <c r="H31" s="26"/>
      <c r="I31" s="26">
        <v>116</v>
      </c>
      <c r="J31" s="1">
        <v>77</v>
      </c>
      <c r="K31" s="26">
        <f t="shared" si="1"/>
        <v>193</v>
      </c>
      <c r="L31" s="26">
        <v>120</v>
      </c>
      <c r="M31" s="52">
        <f>+K31/L31</f>
        <v>1.6083333333333334</v>
      </c>
      <c r="N31" s="26">
        <v>50000</v>
      </c>
      <c r="O31" s="55">
        <f>N31</f>
        <v>50000</v>
      </c>
      <c r="P31" s="100"/>
      <c r="Q31" s="38"/>
      <c r="R31" s="38"/>
      <c r="S31" s="38">
        <v>6</v>
      </c>
      <c r="T31" s="38">
        <v>51</v>
      </c>
      <c r="U31" s="41">
        <f t="shared" si="3"/>
        <v>57</v>
      </c>
      <c r="V31" s="26">
        <v>60</v>
      </c>
      <c r="W31" s="32">
        <f>+U31/V31</f>
        <v>0.95</v>
      </c>
      <c r="X31" s="26">
        <v>25000</v>
      </c>
      <c r="Y31" s="50">
        <f t="shared" si="8"/>
        <v>23750</v>
      </c>
      <c r="Z31" s="101"/>
      <c r="AA31" s="102">
        <f t="shared" si="0"/>
        <v>73750</v>
      </c>
      <c r="AB31" s="110"/>
      <c r="AC31" s="1"/>
      <c r="AD31" s="100"/>
      <c r="AE31" s="26"/>
    </row>
    <row r="32" spans="1:31" ht="70">
      <c r="A32" s="95" t="s">
        <v>81</v>
      </c>
      <c r="B32" s="99" t="s">
        <v>115</v>
      </c>
      <c r="C32" s="95"/>
      <c r="D32" s="95"/>
      <c r="E32" s="95"/>
      <c r="F32" s="94"/>
      <c r="G32" s="94"/>
      <c r="H32" s="94"/>
      <c r="I32" s="94"/>
      <c r="J32" s="95"/>
      <c r="K32" s="94"/>
      <c r="L32" s="94"/>
      <c r="M32" s="94"/>
      <c r="N32" s="94"/>
      <c r="O32" s="93">
        <f>SUM(O28:O31)</f>
        <v>196250</v>
      </c>
      <c r="P32" s="100"/>
      <c r="Q32" s="94"/>
      <c r="R32" s="94"/>
      <c r="S32" s="94"/>
      <c r="T32" s="94"/>
      <c r="U32" s="94"/>
      <c r="V32" s="95"/>
      <c r="W32" s="95"/>
      <c r="X32" s="95"/>
      <c r="Y32" s="93">
        <f>SUM(Y28:Y31)</f>
        <v>83750</v>
      </c>
      <c r="Z32" s="100"/>
      <c r="AA32" s="93">
        <f t="shared" si="0"/>
        <v>280000</v>
      </c>
      <c r="AB32" s="110"/>
      <c r="AC32" s="95">
        <v>75000</v>
      </c>
      <c r="AD32" s="100"/>
      <c r="AE32" s="146">
        <f>+AA32+AC32</f>
        <v>355000</v>
      </c>
    </row>
    <row r="33" spans="23:31">
      <c r="W33" t="s">
        <v>125</v>
      </c>
      <c r="X33" s="111"/>
      <c r="Y33" s="111"/>
      <c r="Z33" s="111"/>
      <c r="AA33" s="111"/>
      <c r="AB33" s="111"/>
      <c r="AC33" s="111"/>
      <c r="AD33" s="111"/>
      <c r="AE33" s="147">
        <f>+AE7+AE12+AE17+AE22+AE27+AE32</f>
        <v>3484166.6666666665</v>
      </c>
    </row>
  </sheetData>
  <mergeCells count="14">
    <mergeCell ref="G1:O1"/>
    <mergeCell ref="Q1:Y1"/>
    <mergeCell ref="A28:A31"/>
    <mergeCell ref="B28:B31"/>
    <mergeCell ref="A3:A6"/>
    <mergeCell ref="B3:B6"/>
    <mergeCell ref="A8:A11"/>
    <mergeCell ref="B8:B11"/>
    <mergeCell ref="A13:A16"/>
    <mergeCell ref="B13:B16"/>
    <mergeCell ref="A18:A21"/>
    <mergeCell ref="B18:B21"/>
    <mergeCell ref="A23:A26"/>
    <mergeCell ref="B23:B26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8"/>
  <sheetViews>
    <sheetView workbookViewId="0">
      <selection sqref="A1:F7"/>
    </sheetView>
  </sheetViews>
  <sheetFormatPr baseColWidth="10" defaultRowHeight="14"/>
  <cols>
    <col min="1" max="1" width="7.6640625" bestFit="1" customWidth="1"/>
    <col min="2" max="2" width="29.08203125" bestFit="1" customWidth="1"/>
    <col min="3" max="3" width="18.9140625" customWidth="1"/>
    <col min="4" max="4" width="8.33203125" bestFit="1" customWidth="1"/>
    <col min="5" max="5" width="10.75" customWidth="1"/>
    <col min="6" max="6" width="11.4140625" bestFit="1" customWidth="1"/>
  </cols>
  <sheetData>
    <row r="1" spans="1:6" ht="30.5" customHeight="1">
      <c r="A1" s="214" t="s">
        <v>143</v>
      </c>
      <c r="B1" s="215"/>
      <c r="C1" s="215"/>
      <c r="D1" s="215"/>
      <c r="E1" s="215"/>
      <c r="F1" s="216"/>
    </row>
    <row r="2" spans="1:6" ht="37" customHeight="1">
      <c r="A2" s="117" t="s">
        <v>122</v>
      </c>
      <c r="B2" s="89" t="s">
        <v>0</v>
      </c>
      <c r="C2" s="90" t="s">
        <v>121</v>
      </c>
      <c r="D2" s="90" t="s">
        <v>130</v>
      </c>
      <c r="E2" s="90" t="s">
        <v>133</v>
      </c>
      <c r="F2" s="90" t="s">
        <v>128</v>
      </c>
    </row>
    <row r="3" spans="1:6">
      <c r="A3" s="124" t="s">
        <v>141</v>
      </c>
      <c r="B3" s="118" t="s">
        <v>135</v>
      </c>
      <c r="C3" s="114">
        <v>187500</v>
      </c>
      <c r="D3" s="112">
        <f>C3*0.05</f>
        <v>9375</v>
      </c>
      <c r="E3" s="112">
        <f>C3+D3</f>
        <v>196875</v>
      </c>
      <c r="F3" s="153">
        <v>773316647</v>
      </c>
    </row>
    <row r="4" spans="1:6" s="123" customFormat="1">
      <c r="A4" s="125" t="s">
        <v>20</v>
      </c>
      <c r="B4" s="121" t="s">
        <v>134</v>
      </c>
      <c r="C4" s="126">
        <v>127916.66666666666</v>
      </c>
      <c r="D4" s="122">
        <f t="shared" ref="D4:D8" si="0">C4*0.05</f>
        <v>6395.833333333333</v>
      </c>
      <c r="E4" s="122">
        <f t="shared" ref="E4:E8" si="1">C4+D4</f>
        <v>134312.5</v>
      </c>
      <c r="F4" s="154">
        <v>774317541</v>
      </c>
    </row>
    <row r="5" spans="1:6">
      <c r="A5" s="124" t="s">
        <v>140</v>
      </c>
      <c r="B5" s="118" t="s">
        <v>136</v>
      </c>
      <c r="C5" s="114">
        <v>187500</v>
      </c>
      <c r="D5" s="112">
        <f t="shared" si="0"/>
        <v>9375</v>
      </c>
      <c r="E5" s="112">
        <f t="shared" si="1"/>
        <v>196875</v>
      </c>
      <c r="F5" s="153">
        <v>776247047</v>
      </c>
    </row>
    <row r="6" spans="1:6" s="123" customFormat="1" ht="16.5" customHeight="1">
      <c r="A6" s="125" t="s">
        <v>117</v>
      </c>
      <c r="B6" s="121" t="s">
        <v>137</v>
      </c>
      <c r="C6" s="126">
        <v>187500</v>
      </c>
      <c r="D6" s="122">
        <f t="shared" si="0"/>
        <v>9375</v>
      </c>
      <c r="E6" s="122">
        <f t="shared" si="1"/>
        <v>196875</v>
      </c>
      <c r="F6" s="153">
        <v>775499999</v>
      </c>
    </row>
    <row r="7" spans="1:6" ht="28">
      <c r="A7" s="124" t="s">
        <v>118</v>
      </c>
      <c r="B7" s="118" t="s">
        <v>69</v>
      </c>
      <c r="C7" s="114">
        <v>168750</v>
      </c>
      <c r="D7" s="112">
        <f t="shared" si="0"/>
        <v>8437.5</v>
      </c>
      <c r="E7" s="112">
        <f t="shared" si="1"/>
        <v>177187.5</v>
      </c>
      <c r="F7" s="153">
        <v>775499999</v>
      </c>
    </row>
    <row r="8" spans="1:6">
      <c r="A8" s="212" t="s">
        <v>127</v>
      </c>
      <c r="B8" s="213"/>
      <c r="C8" s="115">
        <v>859166.66666666663</v>
      </c>
      <c r="D8" s="116">
        <f t="shared" si="0"/>
        <v>42958.333333333336</v>
      </c>
      <c r="E8" s="116">
        <f t="shared" si="1"/>
        <v>902125</v>
      </c>
      <c r="F8" s="1"/>
    </row>
  </sheetData>
  <mergeCells count="2">
    <mergeCell ref="A8:B8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G9"/>
  <sheetViews>
    <sheetView workbookViewId="0">
      <selection activeCell="E8" sqref="E8"/>
    </sheetView>
  </sheetViews>
  <sheetFormatPr baseColWidth="10" defaultRowHeight="14"/>
  <cols>
    <col min="1" max="1" width="7.6640625" bestFit="1" customWidth="1"/>
    <col min="2" max="2" width="29.9140625" customWidth="1"/>
    <col min="3" max="3" width="19" customWidth="1"/>
    <col min="4" max="4" width="8.33203125" bestFit="1" customWidth="1"/>
    <col min="5" max="5" width="13.08203125" bestFit="1" customWidth="1"/>
    <col min="6" max="6" width="15.4140625" customWidth="1"/>
  </cols>
  <sheetData>
    <row r="1" spans="1:7">
      <c r="A1" s="214" t="s">
        <v>144</v>
      </c>
      <c r="B1" s="215"/>
      <c r="C1" s="215"/>
      <c r="D1" s="215"/>
      <c r="E1" s="215"/>
      <c r="F1" s="216"/>
    </row>
    <row r="2" spans="1:7" ht="28" customHeight="1">
      <c r="A2" s="117" t="s">
        <v>122</v>
      </c>
      <c r="B2" s="117" t="s">
        <v>0</v>
      </c>
      <c r="C2" s="119" t="s">
        <v>138</v>
      </c>
      <c r="D2" s="90" t="s">
        <v>130</v>
      </c>
      <c r="E2" s="90" t="s">
        <v>133</v>
      </c>
      <c r="F2" s="90" t="s">
        <v>128</v>
      </c>
    </row>
    <row r="3" spans="1:7">
      <c r="A3" s="83" t="s">
        <v>139</v>
      </c>
      <c r="B3" s="118" t="s">
        <v>135</v>
      </c>
      <c r="C3" s="155">
        <v>614583.33333333326</v>
      </c>
      <c r="D3" s="112">
        <f>+C3*0.05</f>
        <v>30729.166666666664</v>
      </c>
      <c r="E3" s="112">
        <f>C3+D3</f>
        <v>645312.49999999988</v>
      </c>
      <c r="F3" s="153">
        <v>773316647</v>
      </c>
      <c r="G3">
        <v>785493709</v>
      </c>
    </row>
    <row r="4" spans="1:7" s="123" customFormat="1">
      <c r="A4" s="120" t="s">
        <v>20</v>
      </c>
      <c r="B4" s="121" t="s">
        <v>134</v>
      </c>
      <c r="C4" s="156">
        <v>493750</v>
      </c>
      <c r="D4" s="122">
        <f t="shared" ref="D4:D9" si="0">+C4*0.05</f>
        <v>24687.5</v>
      </c>
      <c r="E4" s="122">
        <f t="shared" ref="E4:E9" si="1">C4+D4</f>
        <v>518437.5</v>
      </c>
      <c r="F4" s="154">
        <v>774317541</v>
      </c>
      <c r="G4" s="123">
        <v>781992525</v>
      </c>
    </row>
    <row r="5" spans="1:7">
      <c r="A5" s="83" t="s">
        <v>140</v>
      </c>
      <c r="B5" s="118" t="s">
        <v>136</v>
      </c>
      <c r="C5" s="155">
        <v>713333.33333333302</v>
      </c>
      <c r="D5" s="112">
        <f t="shared" si="0"/>
        <v>35666.66666666665</v>
      </c>
      <c r="E5" s="112">
        <f t="shared" si="1"/>
        <v>748999.99999999965</v>
      </c>
      <c r="F5" s="153">
        <v>776247047</v>
      </c>
    </row>
    <row r="6" spans="1:7" s="123" customFormat="1" ht="28">
      <c r="A6" s="120" t="s">
        <v>117</v>
      </c>
      <c r="B6" s="121" t="s">
        <v>137</v>
      </c>
      <c r="C6" s="156">
        <v>606666.66666666698</v>
      </c>
      <c r="D6" s="122">
        <f t="shared" si="0"/>
        <v>30333.33333333335</v>
      </c>
      <c r="E6" s="122">
        <f t="shared" si="1"/>
        <v>637000.00000000035</v>
      </c>
      <c r="F6" s="154">
        <v>775499999</v>
      </c>
      <c r="G6" s="123">
        <v>775499999</v>
      </c>
    </row>
    <row r="7" spans="1:7" ht="28">
      <c r="A7" s="83" t="s">
        <v>118</v>
      </c>
      <c r="B7" s="118" t="s">
        <v>69</v>
      </c>
      <c r="C7" s="155">
        <v>700833.33333333337</v>
      </c>
      <c r="D7" s="112">
        <f t="shared" si="0"/>
        <v>35041.666666666672</v>
      </c>
      <c r="E7" s="112">
        <f t="shared" si="1"/>
        <v>735875</v>
      </c>
      <c r="F7" s="153">
        <v>775499999</v>
      </c>
      <c r="G7">
        <v>786433131</v>
      </c>
    </row>
    <row r="8" spans="1:7" s="123" customFormat="1">
      <c r="A8" s="120" t="s">
        <v>81</v>
      </c>
      <c r="B8" s="125" t="s">
        <v>82</v>
      </c>
      <c r="C8" s="156">
        <v>318541.66666666669</v>
      </c>
      <c r="D8" s="122">
        <f t="shared" si="0"/>
        <v>15927.083333333336</v>
      </c>
      <c r="E8" s="122">
        <f t="shared" si="1"/>
        <v>334468.75</v>
      </c>
      <c r="F8" s="154">
        <v>774981290</v>
      </c>
      <c r="G8" s="123">
        <v>774981290</v>
      </c>
    </row>
    <row r="9" spans="1:7">
      <c r="A9" s="212" t="s">
        <v>126</v>
      </c>
      <c r="B9" s="213"/>
      <c r="C9" s="158">
        <v>3447708.333333333</v>
      </c>
      <c r="D9" s="157">
        <f t="shared" si="0"/>
        <v>172385.41666666666</v>
      </c>
      <c r="E9" s="157">
        <f t="shared" si="1"/>
        <v>3620093.7499999995</v>
      </c>
      <c r="F9" s="1"/>
    </row>
  </sheetData>
  <mergeCells count="2">
    <mergeCell ref="A9:B9"/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opLeftCell="A2" workbookViewId="0">
      <selection activeCell="G7" sqref="G7"/>
    </sheetView>
  </sheetViews>
  <sheetFormatPr baseColWidth="10" defaultRowHeight="14"/>
  <sheetData>
    <row r="1" spans="1:3">
      <c r="A1" s="214" t="s">
        <v>144</v>
      </c>
      <c r="B1" s="215"/>
      <c r="C1" s="216"/>
    </row>
    <row r="2" spans="1:3" ht="56">
      <c r="A2" s="117" t="s">
        <v>122</v>
      </c>
      <c r="B2" s="117" t="s">
        <v>0</v>
      </c>
      <c r="C2" s="90" t="s">
        <v>128</v>
      </c>
    </row>
    <row r="3" spans="1:3" ht="28">
      <c r="A3" s="83" t="s">
        <v>139</v>
      </c>
      <c r="B3" s="118" t="s">
        <v>135</v>
      </c>
      <c r="C3" s="153">
        <v>773316647</v>
      </c>
    </row>
    <row r="4" spans="1:3" ht="27" customHeight="1">
      <c r="A4" s="120" t="s">
        <v>20</v>
      </c>
      <c r="B4" s="121" t="s">
        <v>134</v>
      </c>
      <c r="C4" s="154">
        <v>774317541</v>
      </c>
    </row>
    <row r="5" spans="1:3" ht="21.5" customHeight="1">
      <c r="A5" s="83" t="s">
        <v>140</v>
      </c>
      <c r="B5" s="118" t="s">
        <v>136</v>
      </c>
      <c r="C5" s="153">
        <v>776247047</v>
      </c>
    </row>
    <row r="6" spans="1:3" ht="27.5" customHeight="1">
      <c r="A6" s="120" t="s">
        <v>117</v>
      </c>
      <c r="B6" s="121" t="s">
        <v>137</v>
      </c>
      <c r="C6" s="154">
        <v>775499999</v>
      </c>
    </row>
    <row r="7" spans="1:3" ht="17" customHeight="1">
      <c r="A7" s="83" t="s">
        <v>118</v>
      </c>
      <c r="B7" s="118" t="s">
        <v>69</v>
      </c>
      <c r="C7" s="153">
        <v>775499999</v>
      </c>
    </row>
    <row r="8" spans="1:3">
      <c r="A8" s="120" t="s">
        <v>81</v>
      </c>
      <c r="B8" s="125" t="s">
        <v>82</v>
      </c>
      <c r="C8" s="154">
        <v>774981290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15" workbookViewId="0">
      <selection sqref="A1:F25"/>
    </sheetView>
  </sheetViews>
  <sheetFormatPr baseColWidth="10" defaultRowHeight="14"/>
  <sheetData>
    <row r="1" spans="1:6" ht="28" thickBot="1">
      <c r="A1" s="217"/>
      <c r="B1" s="218" t="s">
        <v>0</v>
      </c>
      <c r="C1" s="219" t="s">
        <v>1</v>
      </c>
      <c r="D1" s="219" t="s">
        <v>2</v>
      </c>
      <c r="E1" s="219" t="s">
        <v>3</v>
      </c>
      <c r="F1" s="220" t="s">
        <v>4</v>
      </c>
    </row>
    <row r="2" spans="1:6" ht="25.5">
      <c r="A2" s="235" t="s">
        <v>139</v>
      </c>
      <c r="B2" s="238" t="s">
        <v>8</v>
      </c>
      <c r="C2" s="221" t="s">
        <v>9</v>
      </c>
      <c r="D2" s="221" t="s">
        <v>10</v>
      </c>
      <c r="E2" s="221" t="s">
        <v>11</v>
      </c>
      <c r="F2" s="222">
        <v>775810336</v>
      </c>
    </row>
    <row r="3" spans="1:6" ht="38">
      <c r="A3" s="236"/>
      <c r="B3" s="239"/>
      <c r="C3" s="223" t="s">
        <v>12</v>
      </c>
      <c r="D3" s="223" t="s">
        <v>13</v>
      </c>
      <c r="E3" s="223" t="s">
        <v>14</v>
      </c>
      <c r="F3" s="224">
        <v>772107591</v>
      </c>
    </row>
    <row r="4" spans="1:6" ht="25.5">
      <c r="A4" s="236"/>
      <c r="B4" s="239"/>
      <c r="C4" s="223" t="s">
        <v>15</v>
      </c>
      <c r="D4" s="223" t="s">
        <v>16</v>
      </c>
      <c r="E4" s="223" t="s">
        <v>17</v>
      </c>
      <c r="F4" s="224">
        <v>772104981</v>
      </c>
    </row>
    <row r="5" spans="1:6" ht="26" thickBot="1">
      <c r="A5" s="237"/>
      <c r="B5" s="240"/>
      <c r="C5" s="225" t="s">
        <v>15</v>
      </c>
      <c r="D5" s="225" t="s">
        <v>18</v>
      </c>
      <c r="E5" s="225" t="s">
        <v>19</v>
      </c>
      <c r="F5" s="226">
        <v>778525987</v>
      </c>
    </row>
    <row r="6" spans="1:6">
      <c r="A6" s="235" t="s">
        <v>20</v>
      </c>
      <c r="B6" s="238" t="s">
        <v>21</v>
      </c>
      <c r="C6" s="221" t="s">
        <v>22</v>
      </c>
      <c r="D6" s="221" t="s">
        <v>23</v>
      </c>
      <c r="E6" s="221" t="s">
        <v>24</v>
      </c>
      <c r="F6" s="227" t="s">
        <v>25</v>
      </c>
    </row>
    <row r="7" spans="1:6" ht="25.5">
      <c r="A7" s="236"/>
      <c r="B7" s="239"/>
      <c r="C7" s="223" t="s">
        <v>26</v>
      </c>
      <c r="D7" s="223" t="s">
        <v>27</v>
      </c>
      <c r="E7" s="223" t="s">
        <v>28</v>
      </c>
      <c r="F7" s="228" t="s">
        <v>29</v>
      </c>
    </row>
    <row r="8" spans="1:6">
      <c r="A8" s="236"/>
      <c r="B8" s="239"/>
      <c r="C8" s="223" t="s">
        <v>30</v>
      </c>
      <c r="D8" s="223" t="s">
        <v>31</v>
      </c>
      <c r="E8" s="223" t="s">
        <v>32</v>
      </c>
      <c r="F8" s="228" t="s">
        <v>33</v>
      </c>
    </row>
    <row r="9" spans="1:6" ht="26" thickBot="1">
      <c r="A9" s="237"/>
      <c r="B9" s="240"/>
      <c r="C9" s="225" t="s">
        <v>34</v>
      </c>
      <c r="D9" s="225" t="s">
        <v>35</v>
      </c>
      <c r="E9" s="225" t="s">
        <v>36</v>
      </c>
      <c r="F9" s="229" t="s">
        <v>37</v>
      </c>
    </row>
    <row r="10" spans="1:6" ht="25.5">
      <c r="A10" s="235" t="s">
        <v>140</v>
      </c>
      <c r="B10" s="238" t="s">
        <v>39</v>
      </c>
      <c r="C10" s="221" t="s">
        <v>40</v>
      </c>
      <c r="D10" s="221" t="s">
        <v>41</v>
      </c>
      <c r="E10" s="221" t="s">
        <v>42</v>
      </c>
      <c r="F10" s="222" t="s">
        <v>43</v>
      </c>
    </row>
    <row r="11" spans="1:6" ht="25.5">
      <c r="A11" s="236"/>
      <c r="B11" s="239"/>
      <c r="C11" s="223" t="s">
        <v>22</v>
      </c>
      <c r="D11" s="223" t="s">
        <v>44</v>
      </c>
      <c r="E11" s="223" t="s">
        <v>45</v>
      </c>
      <c r="F11" s="230" t="s">
        <v>46</v>
      </c>
    </row>
    <row r="12" spans="1:6" ht="25.5">
      <c r="A12" s="236"/>
      <c r="B12" s="239"/>
      <c r="C12" s="223" t="s">
        <v>47</v>
      </c>
      <c r="D12" s="223" t="s">
        <v>48</v>
      </c>
      <c r="E12" s="223" t="s">
        <v>49</v>
      </c>
      <c r="F12" s="224">
        <v>778528509</v>
      </c>
    </row>
    <row r="13" spans="1:6" ht="26" thickBot="1">
      <c r="A13" s="237"/>
      <c r="B13" s="240"/>
      <c r="C13" s="225" t="s">
        <v>50</v>
      </c>
      <c r="D13" s="225" t="s">
        <v>23</v>
      </c>
      <c r="E13" s="225" t="s">
        <v>51</v>
      </c>
      <c r="F13" s="226">
        <v>787655222</v>
      </c>
    </row>
    <row r="14" spans="1:6" ht="25.5">
      <c r="A14" s="235" t="s">
        <v>170</v>
      </c>
      <c r="B14" s="238" t="s">
        <v>53</v>
      </c>
      <c r="C14" s="221" t="s">
        <v>54</v>
      </c>
      <c r="D14" s="221" t="s">
        <v>55</v>
      </c>
      <c r="E14" s="221" t="s">
        <v>56</v>
      </c>
      <c r="F14" s="227" t="s">
        <v>171</v>
      </c>
    </row>
    <row r="15" spans="1:6" ht="25.5">
      <c r="A15" s="236"/>
      <c r="B15" s="239"/>
      <c r="C15" s="223" t="s">
        <v>58</v>
      </c>
      <c r="D15" s="223" t="s">
        <v>59</v>
      </c>
      <c r="E15" s="223" t="s">
        <v>60</v>
      </c>
      <c r="F15" s="228" t="s">
        <v>172</v>
      </c>
    </row>
    <row r="16" spans="1:6" ht="25.5">
      <c r="A16" s="236"/>
      <c r="B16" s="239"/>
      <c r="C16" s="223" t="s">
        <v>62</v>
      </c>
      <c r="D16" s="223" t="s">
        <v>23</v>
      </c>
      <c r="E16" s="223" t="s">
        <v>63</v>
      </c>
      <c r="F16" s="228" t="s">
        <v>173</v>
      </c>
    </row>
    <row r="17" spans="1:6" ht="25.5" thickBot="1">
      <c r="A17" s="237"/>
      <c r="B17" s="240"/>
      <c r="C17" s="231" t="s">
        <v>65</v>
      </c>
      <c r="D17" s="232" t="s">
        <v>66</v>
      </c>
      <c r="E17" s="232" t="s">
        <v>174</v>
      </c>
      <c r="F17" s="233" t="s">
        <v>175</v>
      </c>
    </row>
    <row r="18" spans="1:6" ht="26" thickBot="1">
      <c r="A18" s="235" t="s">
        <v>176</v>
      </c>
      <c r="B18" s="238" t="s">
        <v>69</v>
      </c>
      <c r="C18" s="221" t="s">
        <v>70</v>
      </c>
      <c r="D18" s="221" t="s">
        <v>27</v>
      </c>
      <c r="E18" s="221" t="s">
        <v>71</v>
      </c>
      <c r="F18" s="234">
        <v>786241255</v>
      </c>
    </row>
    <row r="19" spans="1:6" ht="26" thickBot="1">
      <c r="A19" s="236"/>
      <c r="B19" s="239"/>
      <c r="C19" s="223" t="s">
        <v>72</v>
      </c>
      <c r="D19" s="223" t="s">
        <v>73</v>
      </c>
      <c r="E19" s="223" t="s">
        <v>74</v>
      </c>
      <c r="F19" s="234">
        <v>775812208</v>
      </c>
    </row>
    <row r="20" spans="1:6" ht="26" thickBot="1">
      <c r="A20" s="236"/>
      <c r="B20" s="239"/>
      <c r="C20" s="223" t="s">
        <v>75</v>
      </c>
      <c r="D20" s="223" t="s">
        <v>76</v>
      </c>
      <c r="E20" s="223" t="s">
        <v>77</v>
      </c>
      <c r="F20" s="234">
        <v>786241266</v>
      </c>
    </row>
    <row r="21" spans="1:6" ht="26" thickBot="1">
      <c r="A21" s="237"/>
      <c r="B21" s="240"/>
      <c r="C21" s="225" t="s">
        <v>78</v>
      </c>
      <c r="D21" s="225" t="s">
        <v>79</v>
      </c>
      <c r="E21" s="225" t="s">
        <v>80</v>
      </c>
      <c r="F21" s="234">
        <v>786239376</v>
      </c>
    </row>
    <row r="22" spans="1:6">
      <c r="A22" s="235" t="s">
        <v>81</v>
      </c>
      <c r="B22" s="238" t="s">
        <v>82</v>
      </c>
      <c r="C22" s="221" t="s">
        <v>83</v>
      </c>
      <c r="D22" s="221" t="s">
        <v>84</v>
      </c>
      <c r="E22" s="221" t="s">
        <v>85</v>
      </c>
      <c r="F22" s="227">
        <v>787095594</v>
      </c>
    </row>
    <row r="23" spans="1:6" ht="25.5">
      <c r="A23" s="236"/>
      <c r="B23" s="239"/>
      <c r="C23" s="223" t="s">
        <v>86</v>
      </c>
      <c r="D23" s="223" t="s">
        <v>87</v>
      </c>
      <c r="E23" s="223" t="s">
        <v>88</v>
      </c>
      <c r="F23" s="228">
        <v>787095584</v>
      </c>
    </row>
    <row r="24" spans="1:6">
      <c r="A24" s="236"/>
      <c r="B24" s="239"/>
      <c r="C24" s="223" t="s">
        <v>89</v>
      </c>
      <c r="D24" s="223" t="s">
        <v>31</v>
      </c>
      <c r="E24" s="223" t="s">
        <v>90</v>
      </c>
      <c r="F24" s="228">
        <v>782989910</v>
      </c>
    </row>
    <row r="25" spans="1:6" ht="14.5" thickBot="1">
      <c r="A25" s="237"/>
      <c r="B25" s="240"/>
      <c r="C25" s="225" t="s">
        <v>177</v>
      </c>
      <c r="D25" s="225" t="s">
        <v>178</v>
      </c>
      <c r="E25" s="225" t="s">
        <v>179</v>
      </c>
      <c r="F25" s="229">
        <v>777411462</v>
      </c>
    </row>
  </sheetData>
  <mergeCells count="12">
    <mergeCell ref="A14:A17"/>
    <mergeCell ref="B14:B17"/>
    <mergeCell ref="A18:A21"/>
    <mergeCell ref="B18:B21"/>
    <mergeCell ref="A22:A25"/>
    <mergeCell ref="B22:B25"/>
    <mergeCell ref="A2:A5"/>
    <mergeCell ref="B2:B5"/>
    <mergeCell ref="A6:A9"/>
    <mergeCell ref="B6:B9"/>
    <mergeCell ref="A10:A13"/>
    <mergeCell ref="B10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Feuil2</vt:lpstr>
      <vt:lpstr>VTES VTO PAR SEM</vt:lpstr>
      <vt:lpstr>CUMUL VTE T3 LOUMA</vt:lpstr>
      <vt:lpstr>BILAN DU 24 mars au 30 AVRIL </vt:lpstr>
      <vt:lpstr>CUMUL VENTES PVT DU 24 mars avr</vt:lpstr>
      <vt:lpstr>Feuil1</vt:lpstr>
      <vt:lpstr>SYNT PAIEMENT CHAUF &amp; VTO FEVRI</vt:lpstr>
      <vt:lpstr>PAIEMENT VTO MARS SIMS ET OM</vt:lpstr>
      <vt:lpstr>SYNT PARTENAIRE LOUMA FEV</vt:lpstr>
      <vt:lpstr>SYNTHESE PARTENAIRE LOUMA MARS</vt:lpstr>
      <vt:lpstr>ND PARTENAIRE</vt:lpstr>
      <vt:lpstr>Feuil3</vt:lpstr>
    </vt:vector>
  </TitlesOfParts>
  <Company>Orange-sonatel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Ndeye Gnagna FALL [SNT DV/DOC/DVRTF/SDAT]</dc:creator>
  <cp:lastModifiedBy>hp</cp:lastModifiedBy>
  <dcterms:created xsi:type="dcterms:W3CDTF">2025-03-11T09:58:57Z</dcterms:created>
  <dcterms:modified xsi:type="dcterms:W3CDTF">2025-07-31T11:00:02Z</dcterms:modified>
</cp:coreProperties>
</file>