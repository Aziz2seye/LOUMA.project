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OST\"/>
    </mc:Choice>
  </mc:AlternateContent>
  <bookViews>
    <workbookView xWindow="0" yWindow="0" windowWidth="15530" windowHeight="7050"/>
  </bookViews>
  <sheets>
    <sheet name="Feuil1" sheetId="1" r:id="rId1"/>
    <sheet name="Feuil3" sheetId="3" r:id="rId2"/>
  </sheets>
  <definedNames>
    <definedName name="_xlnm._FilterDatabase" localSheetId="0" hidden="1">Feuil1!$A$1:$H$14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3" l="1"/>
  <c r="C35" i="3"/>
  <c r="C29" i="3"/>
  <c r="C23" i="3"/>
  <c r="C18" i="3"/>
  <c r="C12" i="3"/>
  <c r="C6" i="3"/>
  <c r="H7" i="1"/>
  <c r="E8" i="1"/>
  <c r="D8" i="1"/>
  <c r="E5" i="1"/>
  <c r="D6" i="1" s="1"/>
  <c r="D14" i="1"/>
  <c r="H13" i="1" s="1"/>
  <c r="E11" i="1"/>
  <c r="D12" i="1" s="1"/>
  <c r="E9" i="1"/>
  <c r="D10" i="1" s="1"/>
  <c r="E3" i="1"/>
  <c r="D4" i="1" s="1"/>
  <c r="F12" i="1" l="1"/>
  <c r="H11" i="1" s="1"/>
  <c r="F10" i="1"/>
  <c r="H9" i="1" s="1"/>
  <c r="F6" i="1"/>
  <c r="H5" i="1" s="1"/>
  <c r="F4" i="1"/>
  <c r="H3" i="1" s="1"/>
  <c r="H15" i="1" l="1"/>
</calcChain>
</file>

<file path=xl/sharedStrings.xml><?xml version="1.0" encoding="utf-8"?>
<sst xmlns="http://schemas.openxmlformats.org/spreadsheetml/2006/main" count="74" uniqueCount="41">
  <si>
    <t>DR</t>
  </si>
  <si>
    <t>RESTAURATION</t>
  </si>
  <si>
    <t>CHALLENGE</t>
  </si>
  <si>
    <t>BUDJET</t>
  </si>
  <si>
    <t>DR1</t>
  </si>
  <si>
    <t>DR2</t>
  </si>
  <si>
    <t>DRC</t>
  </si>
  <si>
    <t>DRE</t>
  </si>
  <si>
    <t>DRN</t>
  </si>
  <si>
    <t>DRSE</t>
  </si>
  <si>
    <t>LOGISTIQUE (BUS)</t>
  </si>
  <si>
    <t>VTO</t>
  </si>
  <si>
    <t>PVT</t>
  </si>
  <si>
    <t>-</t>
  </si>
  <si>
    <t>PETIT DEJ OST</t>
  </si>
  <si>
    <t>RESTAURATION VTO</t>
  </si>
  <si>
    <t>CHALLENGE VTO</t>
  </si>
  <si>
    <t>CHALLENGE PVT</t>
  </si>
  <si>
    <t>EAU</t>
  </si>
  <si>
    <t>TOTAL</t>
  </si>
  <si>
    <t>RESTAURATION RZ PROMOTEUR ET  SADI</t>
  </si>
  <si>
    <t>GO ANIMATION</t>
  </si>
  <si>
    <t>Nbre VTO</t>
  </si>
  <si>
    <t>Montant</t>
  </si>
  <si>
    <t>300 VTO *1000</t>
  </si>
  <si>
    <t>300 VTO *1500*5</t>
  </si>
  <si>
    <t>190 VT0* 1770*1</t>
  </si>
  <si>
    <t>190 VT0* 1770*5</t>
  </si>
  <si>
    <t>200 VTO *1000</t>
  </si>
  <si>
    <t>4*6*2000</t>
  </si>
  <si>
    <t>100 VTO *1000*6</t>
  </si>
  <si>
    <t>77 VTO *1770*6</t>
  </si>
  <si>
    <t>1770*6 + 350000 (Animation GO)</t>
  </si>
  <si>
    <t>OBJECTIF VENTE</t>
  </si>
  <si>
    <t>1000 et 2500</t>
  </si>
  <si>
    <t>200 VTO*1500*6</t>
  </si>
  <si>
    <t>DRC /SADI THIES MBOUR</t>
  </si>
  <si>
    <t>189 VTO *1000*6</t>
  </si>
  <si>
    <t>LOCATION BUS</t>
  </si>
  <si>
    <t>DRC /SADI TOUBA</t>
  </si>
  <si>
    <t>100 VTO *2500*6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</si>
</sst>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7" xfId="0" applyBorder="1"/>
    <xf numFmtId="3" fontId="0" fillId="0" borderId="24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0" fillId="0" borderId="26" xfId="0" applyNumberFormat="1" applyBorder="1" applyAlignment="1">
      <alignment vertical="center"/>
    </xf>
    <xf numFmtId="3" fontId="0" fillId="0" borderId="27" xfId="0" applyNumberFormat="1" applyBorder="1" applyAlignment="1">
      <alignment horizontal="center" vertical="center"/>
    </xf>
    <xf numFmtId="3" fontId="0" fillId="0" borderId="27" xfId="0" applyNumberFormat="1" applyBorder="1" applyAlignment="1">
      <alignment vertical="center"/>
    </xf>
    <xf numFmtId="3" fontId="0" fillId="0" borderId="29" xfId="0" applyNumberFormat="1" applyBorder="1" applyAlignment="1">
      <alignment vertical="center" wrapText="1"/>
    </xf>
    <xf numFmtId="3" fontId="0" fillId="0" borderId="17" xfId="0" applyNumberFormat="1" applyBorder="1" applyAlignment="1">
      <alignment vertical="center"/>
    </xf>
    <xf numFmtId="0" fontId="0" fillId="0" borderId="25" xfId="0" applyBorder="1" applyAlignment="1">
      <alignment horizontal="center" vertical="center"/>
    </xf>
    <xf numFmtId="3" fontId="0" fillId="0" borderId="34" xfId="0" applyNumberFormat="1" applyBorder="1" applyAlignment="1">
      <alignment vertical="center" wrapText="1"/>
    </xf>
    <xf numFmtId="3" fontId="0" fillId="0" borderId="32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/>
    <xf numFmtId="3" fontId="0" fillId="0" borderId="23" xfId="0" applyNumberFormat="1" applyBorder="1" applyAlignment="1">
      <alignment horizontal="center" vertical="center"/>
    </xf>
    <xf numFmtId="3" fontId="0" fillId="0" borderId="2" xfId="0" applyNumberFormat="1" applyBorder="1"/>
    <xf numFmtId="3" fontId="0" fillId="0" borderId="2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24" xfId="0" applyNumberFormat="1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115" workbookViewId="0">
      <selection activeCell="J8" sqref="J8"/>
    </sheetView>
  </sheetViews>
  <sheetFormatPr baseColWidth="10" defaultRowHeight="14.5" x14ac:dyDescent="0.35"/>
  <cols>
    <col min="2" max="2" width="14.36328125" bestFit="1" customWidth="1"/>
    <col min="3" max="4" width="15.6328125" customWidth="1"/>
    <col min="5" max="5" width="15" bestFit="1" customWidth="1"/>
    <col min="6" max="7" width="13.7265625" customWidth="1"/>
    <col min="9" max="9" width="15.36328125" bestFit="1" customWidth="1"/>
    <col min="11" max="11" width="35.1796875" bestFit="1" customWidth="1"/>
  </cols>
  <sheetData>
    <row r="1" spans="1:9" ht="15" thickBot="1" x14ac:dyDescent="0.4">
      <c r="A1" s="55" t="s">
        <v>0</v>
      </c>
      <c r="B1" s="55" t="s">
        <v>33</v>
      </c>
      <c r="C1" s="55" t="s">
        <v>10</v>
      </c>
      <c r="D1" s="33" t="s">
        <v>1</v>
      </c>
      <c r="E1" s="34"/>
      <c r="F1" s="53" t="s">
        <v>2</v>
      </c>
      <c r="G1" s="54"/>
      <c r="H1" s="55" t="s">
        <v>3</v>
      </c>
    </row>
    <row r="2" spans="1:9" ht="15" thickBot="1" x14ac:dyDescent="0.4">
      <c r="A2" s="56"/>
      <c r="B2" s="56"/>
      <c r="C2" s="56"/>
      <c r="D2" s="9" t="s">
        <v>22</v>
      </c>
      <c r="E2" s="9" t="s">
        <v>23</v>
      </c>
      <c r="F2" s="3" t="s">
        <v>11</v>
      </c>
      <c r="G2" s="3" t="s">
        <v>12</v>
      </c>
      <c r="H2" s="56"/>
    </row>
    <row r="3" spans="1:9" ht="15" thickBot="1" x14ac:dyDescent="0.4">
      <c r="A3" s="51" t="s">
        <v>4</v>
      </c>
      <c r="B3" s="43">
        <v>4200</v>
      </c>
      <c r="C3" s="45">
        <v>7</v>
      </c>
      <c r="D3" s="10">
        <v>200</v>
      </c>
      <c r="E3" s="11">
        <f>+(6*1500 + 1000)</f>
        <v>10000</v>
      </c>
      <c r="F3" s="12" t="s">
        <v>13</v>
      </c>
      <c r="G3" s="18" t="s">
        <v>13</v>
      </c>
      <c r="H3" s="38">
        <f>SUM(D4+F4)</f>
        <v>2048000</v>
      </c>
    </row>
    <row r="4" spans="1:9" ht="15" thickBot="1" x14ac:dyDescent="0.4">
      <c r="A4" s="52"/>
      <c r="B4" s="48"/>
      <c r="C4" s="47"/>
      <c r="D4" s="23">
        <f>+(D3*E3+48000)</f>
        <v>2048000</v>
      </c>
      <c r="E4" s="35"/>
      <c r="F4" s="27">
        <f>+SUM(F3:G3)</f>
        <v>0</v>
      </c>
      <c r="G4" s="28"/>
      <c r="H4" s="39"/>
    </row>
    <row r="5" spans="1:9" ht="15" thickBot="1" x14ac:dyDescent="0.4">
      <c r="A5" s="49" t="s">
        <v>5</v>
      </c>
      <c r="B5" s="43">
        <v>11500</v>
      </c>
      <c r="C5" s="45">
        <v>8</v>
      </c>
      <c r="D5" s="10">
        <v>300</v>
      </c>
      <c r="E5" s="11">
        <f>+(1500*6 + 1000)</f>
        <v>10000</v>
      </c>
      <c r="F5" s="13">
        <v>100000</v>
      </c>
      <c r="G5" s="15">
        <v>225000</v>
      </c>
      <c r="H5" s="40">
        <f>+SUM(D6+F6)</f>
        <v>3505000</v>
      </c>
    </row>
    <row r="6" spans="1:9" ht="15" thickBot="1" x14ac:dyDescent="0.4">
      <c r="A6" s="50"/>
      <c r="B6" s="48"/>
      <c r="C6" s="47"/>
      <c r="D6" s="23">
        <f>+(D5*E5+180000)</f>
        <v>3180000</v>
      </c>
      <c r="E6" s="35"/>
      <c r="F6" s="29">
        <f>+SUM(F5:G5)</f>
        <v>325000</v>
      </c>
      <c r="G6" s="30"/>
      <c r="H6" s="39"/>
    </row>
    <row r="7" spans="1:9" x14ac:dyDescent="0.35">
      <c r="A7" s="49" t="s">
        <v>6</v>
      </c>
      <c r="B7" s="43">
        <v>22250</v>
      </c>
      <c r="C7" s="45">
        <v>1</v>
      </c>
      <c r="D7" s="10">
        <v>289</v>
      </c>
      <c r="E7" s="14" t="s">
        <v>34</v>
      </c>
      <c r="F7" s="16">
        <v>200000</v>
      </c>
      <c r="G7" s="19" t="s">
        <v>13</v>
      </c>
      <c r="H7" s="40">
        <f>+SUM(D8+F8)+360000</f>
        <v>3194000</v>
      </c>
      <c r="I7" s="17"/>
    </row>
    <row r="8" spans="1:9" ht="15" thickBot="1" x14ac:dyDescent="0.4">
      <c r="A8" s="50"/>
      <c r="B8" s="48"/>
      <c r="C8" s="47"/>
      <c r="D8" s="25">
        <f t="shared" ref="D8:E8" si="0">+(1000*189*6+2500*100*6)</f>
        <v>2634000</v>
      </c>
      <c r="E8" s="26">
        <f t="shared" si="0"/>
        <v>2634000</v>
      </c>
      <c r="F8" s="31">
        <v>200000</v>
      </c>
      <c r="G8" s="32"/>
      <c r="H8" s="39"/>
    </row>
    <row r="9" spans="1:9" x14ac:dyDescent="0.35">
      <c r="A9" s="49" t="s">
        <v>7</v>
      </c>
      <c r="B9" s="43">
        <v>13380</v>
      </c>
      <c r="C9" s="45" t="s">
        <v>13</v>
      </c>
      <c r="D9" s="10">
        <v>100</v>
      </c>
      <c r="E9" s="11">
        <f>+(1000*6)</f>
        <v>6000</v>
      </c>
      <c r="F9" s="7">
        <v>500000</v>
      </c>
      <c r="G9" s="20">
        <v>150000</v>
      </c>
      <c r="H9" s="40">
        <f>+SUM(D10+F10)</f>
        <v>1250000</v>
      </c>
    </row>
    <row r="10" spans="1:9" ht="15" thickBot="1" x14ac:dyDescent="0.4">
      <c r="A10" s="50"/>
      <c r="B10" s="48"/>
      <c r="C10" s="47"/>
      <c r="D10" s="23">
        <f>+D9*E9</f>
        <v>600000</v>
      </c>
      <c r="E10" s="35"/>
      <c r="F10" s="28">
        <f>+SUM(F9:G9)</f>
        <v>650000</v>
      </c>
      <c r="G10" s="28"/>
      <c r="H10" s="39"/>
    </row>
    <row r="11" spans="1:9" ht="15" thickBot="1" x14ac:dyDescent="0.4">
      <c r="A11" s="49" t="s">
        <v>8</v>
      </c>
      <c r="B11" s="43">
        <v>11750</v>
      </c>
      <c r="C11" s="45" t="s">
        <v>13</v>
      </c>
      <c r="D11" s="10">
        <v>190</v>
      </c>
      <c r="E11" s="11">
        <f>+(1770*5 + 1770)</f>
        <v>10620</v>
      </c>
      <c r="F11" s="13">
        <v>100000</v>
      </c>
      <c r="G11" s="15">
        <v>225000</v>
      </c>
      <c r="H11" s="40">
        <f>+SUM(D12+F12)</f>
        <v>2342800</v>
      </c>
    </row>
    <row r="12" spans="1:9" ht="15" thickBot="1" x14ac:dyDescent="0.4">
      <c r="A12" s="50"/>
      <c r="B12" s="48"/>
      <c r="C12" s="47"/>
      <c r="D12" s="23">
        <f>+D11*E11</f>
        <v>2017800</v>
      </c>
      <c r="E12" s="35"/>
      <c r="F12" s="27">
        <f>+SUM(F11:G11)</f>
        <v>325000</v>
      </c>
      <c r="G12" s="28"/>
      <c r="H12" s="39"/>
    </row>
    <row r="13" spans="1:9" ht="43.5" x14ac:dyDescent="0.35">
      <c r="A13" s="41" t="s">
        <v>9</v>
      </c>
      <c r="B13" s="43">
        <v>10000</v>
      </c>
      <c r="C13" s="45" t="s">
        <v>13</v>
      </c>
      <c r="D13" s="10">
        <v>77</v>
      </c>
      <c r="E13" s="14" t="s">
        <v>32</v>
      </c>
      <c r="F13" s="8">
        <v>150000</v>
      </c>
      <c r="G13" s="21" t="s">
        <v>13</v>
      </c>
      <c r="H13" s="36">
        <f>+SUM(D14+F14)</f>
        <v>1317740</v>
      </c>
    </row>
    <row r="14" spans="1:9" ht="15" thickBot="1" x14ac:dyDescent="0.4">
      <c r="A14" s="42"/>
      <c r="B14" s="44"/>
      <c r="C14" s="46"/>
      <c r="D14" s="23">
        <f>+(77*1770*6+350000)</f>
        <v>1167740</v>
      </c>
      <c r="E14" s="24"/>
      <c r="F14" s="23">
        <v>150000</v>
      </c>
      <c r="G14" s="24"/>
      <c r="H14" s="37"/>
    </row>
    <row r="15" spans="1:9" ht="15" thickBot="1" x14ac:dyDescent="0.4">
      <c r="A15" t="s">
        <v>19</v>
      </c>
      <c r="H15" s="22">
        <f>+SUM(H3:H14)</f>
        <v>13657540</v>
      </c>
    </row>
  </sheetData>
  <mergeCells count="42">
    <mergeCell ref="H1:H2"/>
    <mergeCell ref="A3:A4"/>
    <mergeCell ref="B3:B4"/>
    <mergeCell ref="C3:C4"/>
    <mergeCell ref="F1:G1"/>
    <mergeCell ref="A1:A2"/>
    <mergeCell ref="B1:B2"/>
    <mergeCell ref="C1:C2"/>
    <mergeCell ref="C5:C6"/>
    <mergeCell ref="B5:B6"/>
    <mergeCell ref="A5:A6"/>
    <mergeCell ref="A7:A8"/>
    <mergeCell ref="B7:B8"/>
    <mergeCell ref="C7:C8"/>
    <mergeCell ref="A13:A14"/>
    <mergeCell ref="B13:B14"/>
    <mergeCell ref="C13:C14"/>
    <mergeCell ref="D14:E14"/>
    <mergeCell ref="C9:C10"/>
    <mergeCell ref="B9:B10"/>
    <mergeCell ref="A9:A10"/>
    <mergeCell ref="A11:A12"/>
    <mergeCell ref="B11:B12"/>
    <mergeCell ref="C11:C12"/>
    <mergeCell ref="H13:H14"/>
    <mergeCell ref="H3:H4"/>
    <mergeCell ref="H5:H6"/>
    <mergeCell ref="H7:H8"/>
    <mergeCell ref="H9:H10"/>
    <mergeCell ref="H11:H12"/>
    <mergeCell ref="D1:E1"/>
    <mergeCell ref="D4:E4"/>
    <mergeCell ref="D6:E6"/>
    <mergeCell ref="D10:E10"/>
    <mergeCell ref="D12:E12"/>
    <mergeCell ref="F14:G14"/>
    <mergeCell ref="D8:E8"/>
    <mergeCell ref="F4:G4"/>
    <mergeCell ref="F6:G6"/>
    <mergeCell ref="F8:G8"/>
    <mergeCell ref="F10:G10"/>
    <mergeCell ref="F12:G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E14" sqref="E14"/>
    </sheetView>
  </sheetViews>
  <sheetFormatPr baseColWidth="10" defaultRowHeight="14.5" x14ac:dyDescent="0.35"/>
  <cols>
    <col min="1" max="1" width="21.81640625" bestFit="1" customWidth="1"/>
    <col min="2" max="2" width="35.1796875" bestFit="1" customWidth="1"/>
    <col min="4" max="4" width="15.1796875" bestFit="1" customWidth="1"/>
  </cols>
  <sheetData>
    <row r="1" spans="1:4" x14ac:dyDescent="0.35">
      <c r="A1" s="59" t="s">
        <v>5</v>
      </c>
      <c r="B1" s="2" t="s">
        <v>14</v>
      </c>
      <c r="C1" s="2">
        <v>300000</v>
      </c>
      <c r="D1" t="s">
        <v>24</v>
      </c>
    </row>
    <row r="2" spans="1:4" x14ac:dyDescent="0.35">
      <c r="A2" s="60"/>
      <c r="B2" s="2" t="s">
        <v>15</v>
      </c>
      <c r="C2" s="2">
        <v>2250000</v>
      </c>
      <c r="D2" t="s">
        <v>25</v>
      </c>
    </row>
    <row r="3" spans="1:4" x14ac:dyDescent="0.35">
      <c r="A3" s="60"/>
      <c r="B3" s="2" t="s">
        <v>16</v>
      </c>
      <c r="C3" s="2">
        <v>100000</v>
      </c>
    </row>
    <row r="4" spans="1:4" x14ac:dyDescent="0.35">
      <c r="A4" s="60"/>
      <c r="B4" s="2" t="s">
        <v>17</v>
      </c>
      <c r="C4" s="2">
        <v>225000</v>
      </c>
    </row>
    <row r="5" spans="1:4" x14ac:dyDescent="0.35">
      <c r="A5" s="61"/>
      <c r="B5" s="2" t="s">
        <v>18</v>
      </c>
      <c r="C5" s="2">
        <v>180000</v>
      </c>
    </row>
    <row r="6" spans="1:4" x14ac:dyDescent="0.35">
      <c r="A6" s="4" t="s">
        <v>19</v>
      </c>
      <c r="B6" s="2"/>
      <c r="C6" s="1">
        <f>SUM(C1:C5)</f>
        <v>3055000</v>
      </c>
    </row>
    <row r="8" spans="1:4" x14ac:dyDescent="0.35">
      <c r="A8" s="59" t="s">
        <v>8</v>
      </c>
      <c r="B8" s="2" t="s">
        <v>14</v>
      </c>
      <c r="C8" s="2">
        <v>336000</v>
      </c>
      <c r="D8" t="s">
        <v>26</v>
      </c>
    </row>
    <row r="9" spans="1:4" x14ac:dyDescent="0.35">
      <c r="A9" s="60"/>
      <c r="B9" s="2" t="s">
        <v>15</v>
      </c>
      <c r="C9" s="2">
        <v>1681500</v>
      </c>
      <c r="D9" t="s">
        <v>27</v>
      </c>
    </row>
    <row r="10" spans="1:4" x14ac:dyDescent="0.35">
      <c r="A10" s="60"/>
      <c r="B10" s="2" t="s">
        <v>16</v>
      </c>
      <c r="C10" s="2">
        <v>100000</v>
      </c>
    </row>
    <row r="11" spans="1:4" x14ac:dyDescent="0.35">
      <c r="A11" s="60"/>
      <c r="B11" s="2" t="s">
        <v>17</v>
      </c>
      <c r="C11" s="2">
        <v>225000</v>
      </c>
    </row>
    <row r="12" spans="1:4" x14ac:dyDescent="0.35">
      <c r="A12" s="4" t="s">
        <v>19</v>
      </c>
      <c r="B12" s="2"/>
      <c r="C12" s="1">
        <f>SUM(C8:C11)</f>
        <v>2342500</v>
      </c>
    </row>
    <row r="15" spans="1:4" x14ac:dyDescent="0.35">
      <c r="A15" s="59" t="s">
        <v>4</v>
      </c>
      <c r="B15" s="2" t="s">
        <v>14</v>
      </c>
      <c r="C15" s="2">
        <v>200000</v>
      </c>
      <c r="D15" t="s">
        <v>28</v>
      </c>
    </row>
    <row r="16" spans="1:4" x14ac:dyDescent="0.35">
      <c r="A16" s="60"/>
      <c r="B16" s="2" t="s">
        <v>15</v>
      </c>
      <c r="C16" s="2">
        <v>1800000</v>
      </c>
      <c r="D16" t="s">
        <v>35</v>
      </c>
    </row>
    <row r="17" spans="1:4" x14ac:dyDescent="0.35">
      <c r="A17" s="60"/>
      <c r="B17" s="2" t="s">
        <v>20</v>
      </c>
      <c r="C17" s="2">
        <v>48000</v>
      </c>
      <c r="D17" t="s">
        <v>29</v>
      </c>
    </row>
    <row r="18" spans="1:4" x14ac:dyDescent="0.35">
      <c r="A18" s="4" t="s">
        <v>19</v>
      </c>
      <c r="B18" s="2"/>
      <c r="C18" s="1">
        <f>SUM(C15:C17)</f>
        <v>2048000</v>
      </c>
    </row>
    <row r="19" spans="1:4" ht="15" thickBot="1" x14ac:dyDescent="0.4"/>
    <row r="20" spans="1:4" x14ac:dyDescent="0.35">
      <c r="A20" s="57" t="s">
        <v>7</v>
      </c>
      <c r="B20" s="5" t="s">
        <v>15</v>
      </c>
      <c r="C20" s="2">
        <v>600000</v>
      </c>
      <c r="D20" t="s">
        <v>30</v>
      </c>
    </row>
    <row r="21" spans="1:4" x14ac:dyDescent="0.35">
      <c r="A21" s="58"/>
      <c r="B21" s="5" t="s">
        <v>16</v>
      </c>
      <c r="C21" s="2">
        <v>500000</v>
      </c>
    </row>
    <row r="22" spans="1:4" ht="15" thickBot="1" x14ac:dyDescent="0.4">
      <c r="A22" s="62"/>
      <c r="B22" s="5" t="s">
        <v>17</v>
      </c>
      <c r="C22" s="2">
        <v>150000</v>
      </c>
    </row>
    <row r="23" spans="1:4" x14ac:dyDescent="0.35">
      <c r="A23" s="6" t="s">
        <v>19</v>
      </c>
      <c r="B23" s="2"/>
      <c r="C23" s="1">
        <f>SUM(C20:C22)</f>
        <v>1250000</v>
      </c>
    </row>
    <row r="25" spans="1:4" ht="15" thickBot="1" x14ac:dyDescent="0.4"/>
    <row r="26" spans="1:4" x14ac:dyDescent="0.35">
      <c r="A26" s="57" t="s">
        <v>9</v>
      </c>
      <c r="B26" s="5" t="s">
        <v>15</v>
      </c>
      <c r="C26" s="2">
        <v>817740</v>
      </c>
      <c r="D26" t="s">
        <v>31</v>
      </c>
    </row>
    <row r="27" spans="1:4" x14ac:dyDescent="0.35">
      <c r="A27" s="58"/>
      <c r="B27" s="5" t="s">
        <v>16</v>
      </c>
      <c r="C27" s="2">
        <v>150000</v>
      </c>
    </row>
    <row r="28" spans="1:4" ht="15" thickBot="1" x14ac:dyDescent="0.4">
      <c r="A28" s="62"/>
      <c r="B28" s="5" t="s">
        <v>21</v>
      </c>
      <c r="C28" s="2">
        <v>350000</v>
      </c>
    </row>
    <row r="29" spans="1:4" x14ac:dyDescent="0.35">
      <c r="A29" s="6" t="s">
        <v>19</v>
      </c>
      <c r="B29" s="2"/>
      <c r="C29" s="1">
        <f>SUM(C26:C28)</f>
        <v>1317740</v>
      </c>
    </row>
    <row r="31" spans="1:4" ht="15" thickBot="1" x14ac:dyDescent="0.4"/>
    <row r="32" spans="1:4" x14ac:dyDescent="0.35">
      <c r="A32" s="57" t="s">
        <v>36</v>
      </c>
      <c r="B32" s="5" t="s">
        <v>15</v>
      </c>
      <c r="C32" s="2">
        <v>1134000</v>
      </c>
      <c r="D32" t="s">
        <v>37</v>
      </c>
    </row>
    <row r="33" spans="1:4" x14ac:dyDescent="0.35">
      <c r="A33" s="58"/>
      <c r="B33" s="5" t="s">
        <v>16</v>
      </c>
      <c r="C33" s="2">
        <v>100000</v>
      </c>
    </row>
    <row r="34" spans="1:4" ht="15" thickBot="1" x14ac:dyDescent="0.4">
      <c r="A34" s="62"/>
      <c r="B34" s="5" t="s">
        <v>38</v>
      </c>
      <c r="C34" s="2">
        <v>360000</v>
      </c>
    </row>
    <row r="35" spans="1:4" x14ac:dyDescent="0.35">
      <c r="A35" s="6" t="s">
        <v>19</v>
      </c>
      <c r="B35" s="2"/>
      <c r="C35" s="1">
        <f>SUM(C32:C34)</f>
        <v>1594000</v>
      </c>
    </row>
    <row r="37" spans="1:4" ht="15" thickBot="1" x14ac:dyDescent="0.4"/>
    <row r="38" spans="1:4" x14ac:dyDescent="0.35">
      <c r="A38" s="57" t="s">
        <v>39</v>
      </c>
      <c r="B38" s="5" t="s">
        <v>15</v>
      </c>
      <c r="C38" s="2">
        <v>1500000</v>
      </c>
      <c r="D38" t="s">
        <v>40</v>
      </c>
    </row>
    <row r="39" spans="1:4" x14ac:dyDescent="0.35">
      <c r="A39" s="58"/>
      <c r="B39" s="5" t="s">
        <v>16</v>
      </c>
      <c r="C39" s="2">
        <v>100000</v>
      </c>
    </row>
    <row r="40" spans="1:4" x14ac:dyDescent="0.35">
      <c r="A40" s="6" t="s">
        <v>19</v>
      </c>
      <c r="B40" s="2"/>
      <c r="C40" s="1">
        <f>SUM(C38:C39)</f>
        <v>1600000</v>
      </c>
    </row>
  </sheetData>
  <mergeCells count="7">
    <mergeCell ref="A38:A39"/>
    <mergeCell ref="A1:A5"/>
    <mergeCell ref="A8:A11"/>
    <mergeCell ref="A15:A17"/>
    <mergeCell ref="A20:A22"/>
    <mergeCell ref="A26:A28"/>
    <mergeCell ref="A32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2025-09-18T10:34:17Z</dcterms:created>
  <dcterms:modified xsi:type="dcterms:W3CDTF">2025-09-19T12:55:23Z</dcterms:modified>
</cp:coreProperties>
</file>