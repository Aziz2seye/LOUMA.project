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OST\"/>
    </mc:Choice>
  </mc:AlternateContent>
  <bookViews>
    <workbookView xWindow="0" yWindow="0" windowWidth="15530" windowHeight="7050"/>
  </bookViews>
  <sheets>
    <sheet name="Feuil1" sheetId="1" r:id="rId1"/>
    <sheet name="Feuil2" sheetId="2" r:id="rId2"/>
  </sheets>
  <definedNames>
    <definedName name="_xlnm._FilterDatabase" localSheetId="0" hidden="1">Feuil1!$A$1:$H$14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0" i="1"/>
  <c r="F6" i="1"/>
  <c r="F4" i="1"/>
  <c r="D12" i="1"/>
  <c r="M46" i="1"/>
  <c r="M40" i="1"/>
  <c r="M35" i="1"/>
  <c r="M29" i="1"/>
  <c r="M23" i="1"/>
</calcChain>
</file>

<file path=xl/sharedStrings.xml><?xml version="1.0" encoding="utf-8"?>
<sst xmlns="http://schemas.openxmlformats.org/spreadsheetml/2006/main" count="70" uniqueCount="41">
  <si>
    <t>DR</t>
  </si>
  <si>
    <t>OBJECTIF</t>
  </si>
  <si>
    <t>RESTAURATION</t>
  </si>
  <si>
    <t>CHALLENGE</t>
  </si>
  <si>
    <t>BUDJET</t>
  </si>
  <si>
    <t>DR1</t>
  </si>
  <si>
    <t>DR2</t>
  </si>
  <si>
    <t>DRC</t>
  </si>
  <si>
    <t>DRE</t>
  </si>
  <si>
    <t>DRN</t>
  </si>
  <si>
    <t>DRSE</t>
  </si>
  <si>
    <t>LOGISTIQUE (BUS)</t>
  </si>
  <si>
    <t>VTO</t>
  </si>
  <si>
    <t>PVT</t>
  </si>
  <si>
    <t>-</t>
  </si>
  <si>
    <t>PETIT DEJ OST</t>
  </si>
  <si>
    <t>RESTAURATION VTO</t>
  </si>
  <si>
    <t>CHALLENGE VTO</t>
  </si>
  <si>
    <t>CHALLENGE PVT</t>
  </si>
  <si>
    <t>EAU</t>
  </si>
  <si>
    <t>TOTAL</t>
  </si>
  <si>
    <t>RESTAURATION RZ PROMOTEUR ET  SADI</t>
  </si>
  <si>
    <t>GO ANIMATION</t>
  </si>
  <si>
    <t>Nbre VTO</t>
  </si>
  <si>
    <t>Montant</t>
  </si>
  <si>
    <t>300 VTO *1000</t>
  </si>
  <si>
    <t>300 VTO *1500*5</t>
  </si>
  <si>
    <t>190 VT0* 1770*1</t>
  </si>
  <si>
    <t>190 VT0* 1770*5</t>
  </si>
  <si>
    <t>200 VTO *1000</t>
  </si>
  <si>
    <t>200 VTO*1500*5</t>
  </si>
  <si>
    <t>4*6*2000</t>
  </si>
  <si>
    <t>100 VTO *1000*6</t>
  </si>
  <si>
    <t>77 VTO *1770*6</t>
  </si>
  <si>
    <t>7500 + 1000</t>
  </si>
  <si>
    <t>1000*6</t>
  </si>
  <si>
    <t>1500*5 + 1000</t>
  </si>
  <si>
    <t>1770*5 + 1770</t>
  </si>
  <si>
    <t>1770*6 + 350000 (Animation GO)</t>
  </si>
  <si>
    <t>1 167 740</t>
  </si>
  <si>
    <t>DRC SADI THIES-MBOUR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</si>
</sst>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15" xfId="0" applyNumberForma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/>
    </xf>
    <xf numFmtId="3" fontId="0" fillId="0" borderId="20" xfId="0" applyNumberForma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0" fillId="0" borderId="23" xfId="0" applyNumberFormat="1" applyBorder="1" applyAlignment="1">
      <alignment vertical="center"/>
    </xf>
    <xf numFmtId="3" fontId="0" fillId="0" borderId="24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3" fontId="0" fillId="0" borderId="25" xfId="0" applyNumberFormat="1" applyBorder="1" applyAlignment="1">
      <alignment vertical="center"/>
    </xf>
    <xf numFmtId="3" fontId="1" fillId="0" borderId="15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0" fillId="0" borderId="23" xfId="0" applyNumberFormat="1" applyBorder="1" applyAlignment="1">
      <alignment vertical="center" wrapText="1"/>
    </xf>
    <xf numFmtId="3" fontId="0" fillId="0" borderId="24" xfId="0" applyNumberFormat="1" applyBorder="1" applyAlignment="1">
      <alignment vertical="center"/>
    </xf>
    <xf numFmtId="3" fontId="0" fillId="0" borderId="19" xfId="0" applyNumberFormat="1" applyBorder="1" applyAlignment="1">
      <alignment horizontal="center"/>
    </xf>
    <xf numFmtId="3" fontId="0" fillId="0" borderId="21" xfId="0" applyNumberFormat="1" applyBorder="1" applyAlignment="1">
      <alignment horizontal="center" vertical="center"/>
    </xf>
    <xf numFmtId="3" fontId="0" fillId="0" borderId="2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topLeftCell="E1" zoomScale="115" workbookViewId="0">
      <selection activeCell="J9" sqref="J9"/>
    </sheetView>
  </sheetViews>
  <sheetFormatPr baseColWidth="10" defaultRowHeight="14.5" x14ac:dyDescent="0.35"/>
  <cols>
    <col min="3" max="4" width="15.6328125" customWidth="1"/>
    <col min="5" max="5" width="15" bestFit="1" customWidth="1"/>
    <col min="6" max="7" width="13.7265625" customWidth="1"/>
    <col min="10" max="10" width="15.36328125" bestFit="1" customWidth="1"/>
    <col min="12" max="12" width="35.1796875" bestFit="1" customWidth="1"/>
  </cols>
  <sheetData>
    <row r="1" spans="1:8" ht="15" thickBot="1" x14ac:dyDescent="0.4">
      <c r="A1" s="3" t="s">
        <v>0</v>
      </c>
      <c r="B1" s="3" t="s">
        <v>1</v>
      </c>
      <c r="C1" s="3" t="s">
        <v>11</v>
      </c>
      <c r="D1" s="28" t="s">
        <v>2</v>
      </c>
      <c r="E1" s="29"/>
      <c r="F1" s="5" t="s">
        <v>3</v>
      </c>
      <c r="G1" s="6"/>
      <c r="H1" s="8" t="s">
        <v>4</v>
      </c>
    </row>
    <row r="2" spans="1:8" ht="15" thickBot="1" x14ac:dyDescent="0.4">
      <c r="A2" s="4"/>
      <c r="B2" s="4"/>
      <c r="C2" s="4"/>
      <c r="D2" s="33" t="s">
        <v>23</v>
      </c>
      <c r="E2" s="33" t="s">
        <v>24</v>
      </c>
      <c r="F2" s="7" t="s">
        <v>12</v>
      </c>
      <c r="G2" s="7" t="s">
        <v>13</v>
      </c>
      <c r="H2" s="9"/>
    </row>
    <row r="3" spans="1:8" ht="15" thickBot="1" x14ac:dyDescent="0.4">
      <c r="A3" s="19" t="s">
        <v>5</v>
      </c>
      <c r="B3" s="21">
        <v>4200</v>
      </c>
      <c r="C3" s="32">
        <v>7</v>
      </c>
      <c r="D3" s="35">
        <v>200</v>
      </c>
      <c r="E3" s="36" t="s">
        <v>34</v>
      </c>
      <c r="F3" s="44">
        <v>100000</v>
      </c>
      <c r="G3" s="40">
        <v>225000</v>
      </c>
      <c r="H3" s="24"/>
    </row>
    <row r="4" spans="1:8" ht="15" thickBot="1" x14ac:dyDescent="0.4">
      <c r="A4" s="20"/>
      <c r="B4" s="22"/>
      <c r="C4" s="30"/>
      <c r="D4" s="37">
        <v>1848000</v>
      </c>
      <c r="E4" s="38"/>
      <c r="F4" s="45">
        <f>+SUM(F3:G3)</f>
        <v>325000</v>
      </c>
      <c r="G4" s="26"/>
      <c r="H4" s="23"/>
    </row>
    <row r="5" spans="1:8" ht="15" thickBot="1" x14ac:dyDescent="0.4">
      <c r="A5" s="41" t="s">
        <v>6</v>
      </c>
      <c r="B5" s="21">
        <v>11500</v>
      </c>
      <c r="C5" s="32">
        <v>8</v>
      </c>
      <c r="D5" s="35">
        <v>300</v>
      </c>
      <c r="E5" s="36" t="s">
        <v>36</v>
      </c>
      <c r="F5" s="44">
        <v>100000</v>
      </c>
      <c r="G5" s="40">
        <v>225000</v>
      </c>
      <c r="H5" s="25"/>
    </row>
    <row r="6" spans="1:8" ht="15" thickBot="1" x14ac:dyDescent="0.4">
      <c r="A6" s="42"/>
      <c r="B6" s="22"/>
      <c r="C6" s="30"/>
      <c r="D6" s="37">
        <v>2550000</v>
      </c>
      <c r="E6" s="38"/>
      <c r="F6" s="45">
        <f>+SUM(F5:G5)</f>
        <v>325000</v>
      </c>
      <c r="G6" s="26"/>
      <c r="H6" s="23"/>
    </row>
    <row r="7" spans="1:8" x14ac:dyDescent="0.35">
      <c r="A7" s="41" t="s">
        <v>7</v>
      </c>
      <c r="B7" s="21">
        <v>11250</v>
      </c>
      <c r="C7" s="32" t="s">
        <v>14</v>
      </c>
      <c r="D7" s="35"/>
      <c r="E7" s="36"/>
      <c r="F7" s="15"/>
      <c r="G7" s="2"/>
      <c r="H7" s="25"/>
    </row>
    <row r="8" spans="1:8" ht="15" thickBot="1" x14ac:dyDescent="0.4">
      <c r="A8" s="42"/>
      <c r="B8" s="22"/>
      <c r="C8" s="30"/>
      <c r="D8" s="39"/>
      <c r="E8" s="40"/>
      <c r="F8" s="31"/>
      <c r="G8" s="26"/>
      <c r="H8" s="23"/>
    </row>
    <row r="9" spans="1:8" x14ac:dyDescent="0.35">
      <c r="A9" s="41" t="s">
        <v>8</v>
      </c>
      <c r="B9" s="21">
        <v>13380</v>
      </c>
      <c r="C9" s="32" t="s">
        <v>14</v>
      </c>
      <c r="D9" s="35">
        <v>100</v>
      </c>
      <c r="E9" s="36" t="s">
        <v>35</v>
      </c>
      <c r="F9" s="15">
        <v>500000</v>
      </c>
      <c r="G9" s="2">
        <v>150000</v>
      </c>
      <c r="H9" s="25"/>
    </row>
    <row r="10" spans="1:8" ht="15" thickBot="1" x14ac:dyDescent="0.4">
      <c r="A10" s="42"/>
      <c r="B10" s="22"/>
      <c r="C10" s="30"/>
      <c r="D10" s="37">
        <v>600000</v>
      </c>
      <c r="E10" s="38"/>
      <c r="F10" s="31">
        <f>+SUM(F9:G9)</f>
        <v>650000</v>
      </c>
      <c r="G10" s="26"/>
      <c r="H10" s="23"/>
    </row>
    <row r="11" spans="1:8" ht="15" thickBot="1" x14ac:dyDescent="0.4">
      <c r="A11" s="41" t="s">
        <v>9</v>
      </c>
      <c r="B11" s="21">
        <v>11750</v>
      </c>
      <c r="C11" s="32" t="s">
        <v>14</v>
      </c>
      <c r="D11" s="35">
        <v>190</v>
      </c>
      <c r="E11" s="36" t="s">
        <v>37</v>
      </c>
      <c r="F11" s="44">
        <v>100000</v>
      </c>
      <c r="G11" s="40">
        <v>225000</v>
      </c>
      <c r="H11" s="25"/>
    </row>
    <row r="12" spans="1:8" ht="15" thickBot="1" x14ac:dyDescent="0.4">
      <c r="A12" s="42"/>
      <c r="B12" s="22"/>
      <c r="C12" s="30"/>
      <c r="D12" s="37">
        <f>+SUM(M25:M26)</f>
        <v>2017500</v>
      </c>
      <c r="E12" s="38"/>
      <c r="F12" s="45">
        <f>+SUM(F11:G11)</f>
        <v>325000</v>
      </c>
      <c r="G12" s="26"/>
      <c r="H12" s="23"/>
    </row>
    <row r="13" spans="1:8" ht="43.5" x14ac:dyDescent="0.35">
      <c r="A13" s="41" t="s">
        <v>10</v>
      </c>
      <c r="B13" s="21">
        <v>10000</v>
      </c>
      <c r="C13" s="32" t="s">
        <v>14</v>
      </c>
      <c r="D13" s="35">
        <v>77</v>
      </c>
      <c r="E13" s="43" t="s">
        <v>38</v>
      </c>
      <c r="F13" s="46">
        <v>150000</v>
      </c>
      <c r="G13" s="27" t="s">
        <v>14</v>
      </c>
      <c r="H13" s="21"/>
    </row>
    <row r="14" spans="1:8" ht="15" thickBot="1" x14ac:dyDescent="0.4">
      <c r="A14" s="42"/>
      <c r="B14" s="22"/>
      <c r="C14" s="30"/>
      <c r="D14" s="37" t="s">
        <v>39</v>
      </c>
      <c r="E14" s="38"/>
      <c r="F14" s="47">
        <v>150000</v>
      </c>
      <c r="G14" s="34"/>
      <c r="H14" s="22"/>
    </row>
    <row r="18" spans="10:13" x14ac:dyDescent="0.35">
      <c r="J18" t="s">
        <v>25</v>
      </c>
      <c r="K18" s="10" t="s">
        <v>6</v>
      </c>
      <c r="L18" s="2" t="s">
        <v>15</v>
      </c>
      <c r="M18" s="2">
        <v>300000</v>
      </c>
    </row>
    <row r="19" spans="10:13" x14ac:dyDescent="0.35">
      <c r="J19" t="s">
        <v>26</v>
      </c>
      <c r="K19" s="11"/>
      <c r="L19" s="2" t="s">
        <v>16</v>
      </c>
      <c r="M19" s="2">
        <v>2250000</v>
      </c>
    </row>
    <row r="20" spans="10:13" x14ac:dyDescent="0.35">
      <c r="K20" s="11"/>
      <c r="L20" s="2" t="s">
        <v>17</v>
      </c>
      <c r="M20" s="2">
        <v>100000</v>
      </c>
    </row>
    <row r="21" spans="10:13" x14ac:dyDescent="0.35">
      <c r="K21" s="11"/>
      <c r="L21" s="2" t="s">
        <v>18</v>
      </c>
      <c r="M21" s="2">
        <v>225000</v>
      </c>
    </row>
    <row r="22" spans="10:13" x14ac:dyDescent="0.35">
      <c r="K22" s="12"/>
      <c r="L22" s="2" t="s">
        <v>19</v>
      </c>
      <c r="M22" s="2">
        <v>180000</v>
      </c>
    </row>
    <row r="23" spans="10:13" x14ac:dyDescent="0.35">
      <c r="K23" s="13" t="s">
        <v>20</v>
      </c>
      <c r="L23" s="2"/>
      <c r="M23" s="1">
        <f>SUM(M18:M22)</f>
        <v>3055000</v>
      </c>
    </row>
    <row r="25" spans="10:13" x14ac:dyDescent="0.35">
      <c r="J25" t="s">
        <v>27</v>
      </c>
      <c r="K25" s="10" t="s">
        <v>9</v>
      </c>
      <c r="L25" s="2" t="s">
        <v>15</v>
      </c>
      <c r="M25" s="2">
        <v>336000</v>
      </c>
    </row>
    <row r="26" spans="10:13" x14ac:dyDescent="0.35">
      <c r="J26" t="s">
        <v>28</v>
      </c>
      <c r="K26" s="11"/>
      <c r="L26" s="2" t="s">
        <v>16</v>
      </c>
      <c r="M26" s="2">
        <v>1681500</v>
      </c>
    </row>
    <row r="27" spans="10:13" x14ac:dyDescent="0.35">
      <c r="K27" s="11"/>
      <c r="L27" s="2" t="s">
        <v>17</v>
      </c>
      <c r="M27" s="2">
        <v>100000</v>
      </c>
    </row>
    <row r="28" spans="10:13" x14ac:dyDescent="0.35">
      <c r="K28" s="11"/>
      <c r="L28" s="2" t="s">
        <v>18</v>
      </c>
      <c r="M28" s="2">
        <v>225000</v>
      </c>
    </row>
    <row r="29" spans="10:13" x14ac:dyDescent="0.35">
      <c r="K29" s="13" t="s">
        <v>20</v>
      </c>
      <c r="L29" s="2"/>
      <c r="M29" s="1">
        <f>SUM(M25:M28)</f>
        <v>2342500</v>
      </c>
    </row>
    <row r="32" spans="10:13" x14ac:dyDescent="0.35">
      <c r="J32" t="s">
        <v>29</v>
      </c>
      <c r="K32" s="10" t="s">
        <v>5</v>
      </c>
      <c r="L32" s="2" t="s">
        <v>15</v>
      </c>
      <c r="M32" s="2">
        <v>300000</v>
      </c>
    </row>
    <row r="33" spans="10:13" x14ac:dyDescent="0.35">
      <c r="J33" t="s">
        <v>30</v>
      </c>
      <c r="K33" s="11"/>
      <c r="L33" s="2" t="s">
        <v>16</v>
      </c>
      <c r="M33" s="2">
        <v>1500000</v>
      </c>
    </row>
    <row r="34" spans="10:13" x14ac:dyDescent="0.35">
      <c r="J34" t="s">
        <v>31</v>
      </c>
      <c r="K34" s="11"/>
      <c r="L34" s="2" t="s">
        <v>21</v>
      </c>
      <c r="M34" s="2">
        <v>48000</v>
      </c>
    </row>
    <row r="35" spans="10:13" x14ac:dyDescent="0.35">
      <c r="K35" s="13" t="s">
        <v>20</v>
      </c>
      <c r="L35" s="2"/>
      <c r="M35" s="1">
        <f>SUM(M32:M34)</f>
        <v>1848000</v>
      </c>
    </row>
    <row r="36" spans="10:13" ht="15" thickBot="1" x14ac:dyDescent="0.4"/>
    <row r="37" spans="10:13" x14ac:dyDescent="0.35">
      <c r="J37" t="s">
        <v>32</v>
      </c>
      <c r="K37" s="14" t="s">
        <v>8</v>
      </c>
      <c r="L37" s="15" t="s">
        <v>16</v>
      </c>
      <c r="M37" s="2">
        <v>600000</v>
      </c>
    </row>
    <row r="38" spans="10:13" x14ac:dyDescent="0.35">
      <c r="K38" s="16"/>
      <c r="L38" s="15" t="s">
        <v>17</v>
      </c>
      <c r="M38" s="2">
        <v>500000</v>
      </c>
    </row>
    <row r="39" spans="10:13" ht="15" thickBot="1" x14ac:dyDescent="0.4">
      <c r="K39" s="17"/>
      <c r="L39" s="15" t="s">
        <v>18</v>
      </c>
      <c r="M39" s="2">
        <v>150000</v>
      </c>
    </row>
    <row r="40" spans="10:13" x14ac:dyDescent="0.35">
      <c r="K40" s="18" t="s">
        <v>20</v>
      </c>
      <c r="L40" s="2"/>
      <c r="M40" s="1">
        <f>SUM(M37:M39)</f>
        <v>1250000</v>
      </c>
    </row>
    <row r="42" spans="10:13" ht="15" thickBot="1" x14ac:dyDescent="0.4"/>
    <row r="43" spans="10:13" x14ac:dyDescent="0.35">
      <c r="J43" t="s">
        <v>33</v>
      </c>
      <c r="K43" s="14" t="s">
        <v>10</v>
      </c>
      <c r="L43" s="15" t="s">
        <v>16</v>
      </c>
      <c r="M43" s="2">
        <v>817740</v>
      </c>
    </row>
    <row r="44" spans="10:13" x14ac:dyDescent="0.35">
      <c r="K44" s="16"/>
      <c r="L44" s="15" t="s">
        <v>17</v>
      </c>
      <c r="M44" s="2">
        <v>150000</v>
      </c>
    </row>
    <row r="45" spans="10:13" ht="15" thickBot="1" x14ac:dyDescent="0.4">
      <c r="K45" s="17"/>
      <c r="L45" s="15" t="s">
        <v>22</v>
      </c>
      <c r="M45" s="2">
        <v>350000</v>
      </c>
    </row>
    <row r="46" spans="10:13" x14ac:dyDescent="0.35">
      <c r="K46" s="18" t="s">
        <v>20</v>
      </c>
      <c r="L46" s="2"/>
      <c r="M46" s="1">
        <f>SUM(M43:M45)</f>
        <v>1317740</v>
      </c>
    </row>
    <row r="52" spans="11:11" x14ac:dyDescent="0.35">
      <c r="K52" t="s">
        <v>40</v>
      </c>
    </row>
  </sheetData>
  <autoFilter ref="A1:H14">
    <filterColumn colId="3" showButton="0"/>
    <filterColumn colId="5" showButton="0"/>
  </autoFilter>
  <mergeCells count="46">
    <mergeCell ref="F14:G14"/>
    <mergeCell ref="F4:G4"/>
    <mergeCell ref="F6:G6"/>
    <mergeCell ref="F8:G8"/>
    <mergeCell ref="F10:G10"/>
    <mergeCell ref="F12:G12"/>
    <mergeCell ref="D1:E1"/>
    <mergeCell ref="D4:E4"/>
    <mergeCell ref="D6:E6"/>
    <mergeCell ref="D10:E10"/>
    <mergeCell ref="D12:E12"/>
    <mergeCell ref="H13:H14"/>
    <mergeCell ref="H3:H4"/>
    <mergeCell ref="H5:H6"/>
    <mergeCell ref="H7:H8"/>
    <mergeCell ref="H9:H10"/>
    <mergeCell ref="H11:H12"/>
    <mergeCell ref="A13:A14"/>
    <mergeCell ref="B13:B14"/>
    <mergeCell ref="C13:C14"/>
    <mergeCell ref="D14:E14"/>
    <mergeCell ref="C9:C10"/>
    <mergeCell ref="B9:B10"/>
    <mergeCell ref="A9:A10"/>
    <mergeCell ref="A11:A12"/>
    <mergeCell ref="B11:B12"/>
    <mergeCell ref="C11:C12"/>
    <mergeCell ref="C5:C6"/>
    <mergeCell ref="B5:B6"/>
    <mergeCell ref="A5:A6"/>
    <mergeCell ref="A7:A8"/>
    <mergeCell ref="B7:B8"/>
    <mergeCell ref="C7:C8"/>
    <mergeCell ref="K18:K22"/>
    <mergeCell ref="K25:K28"/>
    <mergeCell ref="K32:K34"/>
    <mergeCell ref="K37:K39"/>
    <mergeCell ref="K43:K45"/>
    <mergeCell ref="A3:A4"/>
    <mergeCell ref="B3:B4"/>
    <mergeCell ref="C3:C4"/>
    <mergeCell ref="F1:G1"/>
    <mergeCell ref="A1:A2"/>
    <mergeCell ref="B1:B2"/>
    <mergeCell ref="C1:C2"/>
    <mergeCell ref="H1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F12" sqref="F12"/>
    </sheetView>
  </sheetViews>
  <sheetFormatPr baseColWidth="10" defaultRowHeight="14.5" x14ac:dyDescent="0.35"/>
  <cols>
    <col min="3" max="3" width="13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2025-09-18T10:34:17Z</dcterms:created>
  <dcterms:modified xsi:type="dcterms:W3CDTF">2025-09-18T13:07:58Z</dcterms:modified>
</cp:coreProperties>
</file>