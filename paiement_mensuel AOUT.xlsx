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530" windowHeight="7050" activeTab="1"/>
  </bookViews>
  <sheets>
    <sheet name="DETAILS PAIEMENT AOUT VTO" sheetId="1" r:id="rId1"/>
    <sheet name="PAIEMENT PAR PVT" sheetId="2" r:id="rId2"/>
  </sheets>
  <definedNames>
    <definedName name="_xlnm._FilterDatabase" localSheetId="0" hidden="1">'DETAILS PAIEMENT AOUT VTO'!$A$2:$J$32</definedName>
  </definedNames>
  <calcPr calcId="162913"/>
</workbook>
</file>

<file path=xl/calcChain.xml><?xml version="1.0" encoding="utf-8"?>
<calcChain xmlns="http://schemas.openxmlformats.org/spreadsheetml/2006/main">
  <c r="D8" i="2" l="1"/>
  <c r="F6" i="2"/>
  <c r="F5" i="2"/>
  <c r="E7" i="2"/>
  <c r="F7" i="2" s="1"/>
  <c r="E6" i="2"/>
  <c r="E5" i="2"/>
  <c r="E4" i="2"/>
  <c r="F4" i="2" s="1"/>
  <c r="E3" i="2"/>
  <c r="F3" i="2" s="1"/>
  <c r="E2" i="2"/>
  <c r="F2" i="2" s="1"/>
  <c r="P32" i="1"/>
  <c r="S32" i="1" s="1"/>
  <c r="P27" i="1"/>
  <c r="S27" i="1" s="1"/>
  <c r="P22" i="1"/>
  <c r="S22" i="1" s="1"/>
  <c r="P17" i="1"/>
  <c r="S17" i="1" s="1"/>
  <c r="P12" i="1"/>
  <c r="S12" i="1" s="1"/>
  <c r="P7" i="1"/>
  <c r="S7" i="1" s="1"/>
  <c r="F8" i="2" l="1"/>
  <c r="E8" i="2"/>
  <c r="R33" i="1"/>
</calcChain>
</file>

<file path=xl/sharedStrings.xml><?xml version="1.0" encoding="utf-8"?>
<sst xmlns="http://schemas.openxmlformats.org/spreadsheetml/2006/main" count="152" uniqueCount="89">
  <si>
    <t>DRV</t>
  </si>
  <si>
    <t>PVT</t>
  </si>
  <si>
    <t>PRENOM_VENDEUR</t>
  </si>
  <si>
    <t>NOM_VENDEUR</t>
  </si>
  <si>
    <t>KABBU</t>
  </si>
  <si>
    <t>REALISATION</t>
  </si>
  <si>
    <t>OBJECTIF</t>
  </si>
  <si>
    <t>TAUX D'ATTEINTE</t>
  </si>
  <si>
    <t>SI 100% ATTEINT</t>
  </si>
  <si>
    <t>PAIEMENT CHAUFFEUR</t>
  </si>
  <si>
    <t>DR CENTRE</t>
  </si>
  <si>
    <t>PVT SERIGNE MBACKE MADINA CISSE (ZONE TOUBA)</t>
  </si>
  <si>
    <t>ASSANE</t>
  </si>
  <si>
    <t>DIOP</t>
  </si>
  <si>
    <t>GAMOU</t>
  </si>
  <si>
    <t>NDIAYE</t>
  </si>
  <si>
    <t>MAYANE</t>
  </si>
  <si>
    <t>NDIM</t>
  </si>
  <si>
    <t>MODOU</t>
  </si>
  <si>
    <t>LO</t>
  </si>
  <si>
    <t>TOTAL PVT</t>
  </si>
  <si>
    <t>DR EST</t>
  </si>
  <si>
    <t>PVT DEMBA FALL ( RAVT ZONE FATICK)</t>
  </si>
  <si>
    <t>ABDOULAYE</t>
  </si>
  <si>
    <t>DABO</t>
  </si>
  <si>
    <t> 787655204</t>
  </si>
  <si>
    <t>AMY</t>
  </si>
  <si>
    <t>SAMB</t>
  </si>
  <si>
    <t> 787567059</t>
  </si>
  <si>
    <t>AWA</t>
  </si>
  <si>
    <t>NDOUR</t>
  </si>
  <si>
    <t>IBRAHIMA</t>
  </si>
  <si>
    <t>DIALLO</t>
  </si>
  <si>
    <t>DR NORD</t>
  </si>
  <si>
    <t>PVT MADINA BUSINESS PRO (RAVT LINGUERE)</t>
  </si>
  <si>
    <t>ALIOUNE</t>
  </si>
  <si>
    <t> 787095625</t>
  </si>
  <si>
    <t>BAYE SALIOU</t>
  </si>
  <si>
    <t>DIAKHATE</t>
  </si>
  <si>
    <t>DEMBA SOUMARE</t>
  </si>
  <si>
    <t>DIOUF</t>
  </si>
  <si>
    <t> 776006374</t>
  </si>
  <si>
    <t>OUSSEYNOU</t>
  </si>
  <si>
    <t>MBAYE</t>
  </si>
  <si>
    <t> 776003741</t>
  </si>
  <si>
    <t>DR SUD</t>
  </si>
  <si>
    <t>PVT MOR WADE (ZONE KOLDA)</t>
  </si>
  <si>
    <t>FATOUMATA BINTA</t>
  </si>
  <si>
    <t>BA</t>
  </si>
  <si>
    <t>HAMADOU</t>
  </si>
  <si>
    <t>BALDE</t>
  </si>
  <si>
    <t>MBALLO</t>
  </si>
  <si>
    <t>MOUHAMADOU KALIDOU</t>
  </si>
  <si>
    <t>SOW</t>
  </si>
  <si>
    <t>DR2</t>
  </si>
  <si>
    <t>PVT TEKNICOM CONSULTING GROUPE (SADI RUFISQUE-DIAMNIADIO)</t>
  </si>
  <si>
    <t>AMDY</t>
  </si>
  <si>
    <t>GUEYE</t>
  </si>
  <si>
    <t>FATOU</t>
  </si>
  <si>
    <t>TAMBASSA</t>
  </si>
  <si>
    <t>FAYE</t>
  </si>
  <si>
    <t>MOUHAMATH</t>
  </si>
  <si>
    <t>SERIGNE FALLOU</t>
  </si>
  <si>
    <t>BITEYE</t>
  </si>
  <si>
    <t>SUD EST</t>
  </si>
  <si>
    <t>PVT SEYDINA OUSMANE SY ( ZONE TAMBA)</t>
  </si>
  <si>
    <t> 771883753</t>
  </si>
  <si>
    <t>DIOR</t>
  </si>
  <si>
    <t> 775801980</t>
  </si>
  <si>
    <t>KHADIDIATOU</t>
  </si>
  <si>
    <t>SOUARE</t>
  </si>
  <si>
    <t> 781596632</t>
  </si>
  <si>
    <t>MAHAMADOU</t>
  </si>
  <si>
    <t>GAIN PVT (5%)</t>
  </si>
  <si>
    <t>PAIEMENT SIM</t>
  </si>
  <si>
    <t>OM</t>
  </si>
  <si>
    <t>SIM</t>
  </si>
  <si>
    <t>PAIEMENT OM</t>
  </si>
  <si>
    <t>TOTAL PAIEMENT SIM + OM + CHAUUFFEUR</t>
  </si>
  <si>
    <t>TOTAL GENERAL AVEC CHAUFFEUR</t>
  </si>
  <si>
    <t>ND PARTENAIRE</t>
  </si>
  <si>
    <t>DRC</t>
  </si>
  <si>
    <t>DRE</t>
  </si>
  <si>
    <t>DRN</t>
  </si>
  <si>
    <t>DRS</t>
  </si>
  <si>
    <t>DRSE</t>
  </si>
  <si>
    <t>TOTAL</t>
  </si>
  <si>
    <t>PAIEMENT SIM + OM + CHAUUFFEUR</t>
  </si>
  <si>
    <t>TOTAL GENERAL AOUT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</si>
</sst>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69D32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9" fontId="0" fillId="0" borderId="1" xfId="0" applyNumberFormat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Font="1" applyBorder="1" applyAlignment="1">
      <alignment horizontal="center"/>
    </xf>
    <xf numFmtId="0" fontId="0" fillId="3" borderId="1" xfId="0" applyFont="1" applyFill="1" applyBorder="1"/>
    <xf numFmtId="0" fontId="0" fillId="4" borderId="0" xfId="0" applyFill="1"/>
    <xf numFmtId="0" fontId="6" fillId="4" borderId="0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9" fillId="3" borderId="1" xfId="0" applyFont="1" applyFill="1" applyBorder="1" applyAlignment="1"/>
    <xf numFmtId="0" fontId="0" fillId="0" borderId="1" xfId="0" applyFont="1" applyBorder="1" applyAlignment="1">
      <alignment horizontal="left"/>
    </xf>
    <xf numFmtId="1" fontId="0" fillId="0" borderId="0" xfId="0" applyNumberFormat="1"/>
    <xf numFmtId="1" fontId="2" fillId="2" borderId="1" xfId="0" applyNumberFormat="1" applyFont="1" applyFill="1" applyBorder="1"/>
    <xf numFmtId="0" fontId="9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opLeftCell="F1" workbookViewId="0">
      <selection activeCell="V6" sqref="V6"/>
    </sheetView>
  </sheetViews>
  <sheetFormatPr baseColWidth="10" defaultColWidth="8.7265625" defaultRowHeight="14.5" x14ac:dyDescent="0.35"/>
  <cols>
    <col min="1" max="1" width="10.08984375" bestFit="1" customWidth="1"/>
    <col min="2" max="2" width="33.81640625" customWidth="1"/>
    <col min="3" max="3" width="22.54296875" bestFit="1" customWidth="1"/>
    <col min="4" max="4" width="14.26953125" bestFit="1" customWidth="1"/>
    <col min="5" max="5" width="10.26953125" bestFit="1" customWidth="1"/>
    <col min="6" max="6" width="11.7265625" bestFit="1" customWidth="1"/>
    <col min="8" max="8" width="15.54296875" bestFit="1" customWidth="1"/>
    <col min="9" max="9" width="14.6328125" bestFit="1" customWidth="1"/>
    <col min="10" max="10" width="13.26953125" bestFit="1" customWidth="1"/>
    <col min="11" max="11" width="0.54296875" customWidth="1"/>
    <col min="12" max="12" width="11.81640625" bestFit="1" customWidth="1"/>
    <col min="13" max="13" width="8.54296875" bestFit="1" customWidth="1"/>
    <col min="14" max="14" width="15.81640625" bestFit="1" customWidth="1"/>
    <col min="15" max="15" width="14.81640625" bestFit="1" customWidth="1"/>
    <col min="16" max="16" width="14" customWidth="1"/>
    <col min="17" max="17" width="0.6328125" customWidth="1"/>
    <col min="18" max="18" width="20.1796875" bestFit="1" customWidth="1"/>
    <col min="19" max="19" width="48.90625" bestFit="1" customWidth="1"/>
  </cols>
  <sheetData>
    <row r="1" spans="1:19" ht="23.5" x14ac:dyDescent="0.55000000000000004">
      <c r="F1" s="22" t="s">
        <v>76</v>
      </c>
      <c r="G1" s="22"/>
      <c r="H1" s="22"/>
      <c r="I1" s="22"/>
      <c r="J1" s="22"/>
      <c r="K1" s="13"/>
      <c r="L1" s="23" t="s">
        <v>75</v>
      </c>
      <c r="M1" s="23"/>
      <c r="N1" s="23"/>
      <c r="O1" s="23"/>
      <c r="P1" s="23"/>
      <c r="Q1" s="14"/>
    </row>
    <row r="2" spans="1:19" ht="23.5" x14ac:dyDescent="0.55000000000000004">
      <c r="A2" s="2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4" t="s">
        <v>74</v>
      </c>
      <c r="K2" s="13"/>
      <c r="L2" s="1" t="s">
        <v>5</v>
      </c>
      <c r="M2" s="1" t="s">
        <v>6</v>
      </c>
      <c r="N2" s="1" t="s">
        <v>7</v>
      </c>
      <c r="O2" s="1" t="s">
        <v>8</v>
      </c>
      <c r="P2" s="15" t="s">
        <v>77</v>
      </c>
      <c r="Q2" s="14"/>
      <c r="R2" s="2" t="s">
        <v>9</v>
      </c>
      <c r="S2" s="16" t="s">
        <v>78</v>
      </c>
    </row>
    <row r="3" spans="1:19" ht="23.5" x14ac:dyDescent="0.55000000000000004">
      <c r="A3" s="27" t="s">
        <v>10</v>
      </c>
      <c r="B3" s="24" t="s">
        <v>11</v>
      </c>
      <c r="C3" s="5" t="s">
        <v>12</v>
      </c>
      <c r="D3" s="5" t="s">
        <v>13</v>
      </c>
      <c r="E3" s="5">
        <v>786241266</v>
      </c>
      <c r="F3" s="5">
        <v>301</v>
      </c>
      <c r="G3" s="5">
        <v>240</v>
      </c>
      <c r="H3" s="6">
        <v>1.25</v>
      </c>
      <c r="I3" s="5">
        <v>100000</v>
      </c>
      <c r="J3" s="5">
        <v>100000</v>
      </c>
      <c r="K3" s="13"/>
      <c r="L3" s="5">
        <v>63</v>
      </c>
      <c r="M3" s="5">
        <v>120</v>
      </c>
      <c r="N3" s="6">
        <v>0.52</v>
      </c>
      <c r="O3" s="5">
        <v>50000</v>
      </c>
      <c r="P3" s="5">
        <v>26250</v>
      </c>
      <c r="Q3" s="14"/>
      <c r="R3" s="5"/>
      <c r="S3" s="5"/>
    </row>
    <row r="4" spans="1:19" ht="23.5" x14ac:dyDescent="0.55000000000000004">
      <c r="A4" s="27"/>
      <c r="B4" s="25" t="s">
        <v>11</v>
      </c>
      <c r="C4" s="5" t="s">
        <v>14</v>
      </c>
      <c r="D4" s="5" t="s">
        <v>15</v>
      </c>
      <c r="E4" s="5">
        <v>786241255</v>
      </c>
      <c r="F4" s="5">
        <v>222</v>
      </c>
      <c r="G4" s="5">
        <v>240</v>
      </c>
      <c r="H4" s="6">
        <v>0.92</v>
      </c>
      <c r="I4" s="5">
        <v>100000</v>
      </c>
      <c r="J4" s="5">
        <v>92500</v>
      </c>
      <c r="K4" s="13"/>
      <c r="L4" s="5">
        <v>71</v>
      </c>
      <c r="M4" s="5">
        <v>120</v>
      </c>
      <c r="N4" s="6">
        <v>0.59</v>
      </c>
      <c r="O4" s="5">
        <v>50000</v>
      </c>
      <c r="P4" s="5">
        <v>29583</v>
      </c>
      <c r="Q4" s="14"/>
      <c r="R4" s="5"/>
      <c r="S4" s="5"/>
    </row>
    <row r="5" spans="1:19" ht="23.5" x14ac:dyDescent="0.55000000000000004">
      <c r="A5" s="27"/>
      <c r="B5" s="25" t="s">
        <v>11</v>
      </c>
      <c r="C5" s="5" t="s">
        <v>16</v>
      </c>
      <c r="D5" s="5" t="s">
        <v>17</v>
      </c>
      <c r="E5" s="5">
        <v>775812208</v>
      </c>
      <c r="F5" s="5">
        <v>253</v>
      </c>
      <c r="G5" s="5">
        <v>240</v>
      </c>
      <c r="H5" s="6">
        <v>1.05</v>
      </c>
      <c r="I5" s="5">
        <v>100000</v>
      </c>
      <c r="J5" s="5">
        <v>100000</v>
      </c>
      <c r="K5" s="13"/>
      <c r="L5" s="5">
        <v>44</v>
      </c>
      <c r="M5" s="5">
        <v>120</v>
      </c>
      <c r="N5" s="6">
        <v>0.37</v>
      </c>
      <c r="O5" s="5">
        <v>50000</v>
      </c>
      <c r="P5" s="5">
        <v>18333</v>
      </c>
      <c r="Q5" s="14"/>
      <c r="R5" s="5"/>
      <c r="S5" s="5"/>
    </row>
    <row r="6" spans="1:19" ht="23.5" x14ac:dyDescent="0.55000000000000004">
      <c r="A6" s="27"/>
      <c r="B6" s="26" t="s">
        <v>11</v>
      </c>
      <c r="C6" s="5" t="s">
        <v>18</v>
      </c>
      <c r="D6" s="5" t="s">
        <v>19</v>
      </c>
      <c r="E6" s="5">
        <v>789160174</v>
      </c>
      <c r="F6" s="5">
        <v>326</v>
      </c>
      <c r="G6" s="5">
        <v>240</v>
      </c>
      <c r="H6" s="6">
        <v>1.36</v>
      </c>
      <c r="I6" s="5">
        <v>100000</v>
      </c>
      <c r="J6" s="5">
        <v>100000</v>
      </c>
      <c r="K6" s="13"/>
      <c r="L6" s="5">
        <v>104</v>
      </c>
      <c r="M6" s="5">
        <v>120</v>
      </c>
      <c r="N6" s="6">
        <v>0.87</v>
      </c>
      <c r="O6" s="5">
        <v>50000</v>
      </c>
      <c r="P6" s="5">
        <v>43333</v>
      </c>
      <c r="Q6" s="14"/>
      <c r="R6" s="5"/>
      <c r="S6" s="5"/>
    </row>
    <row r="7" spans="1:19" ht="23.5" x14ac:dyDescent="0.55000000000000004">
      <c r="A7" s="7" t="s">
        <v>10</v>
      </c>
      <c r="B7" s="8" t="s">
        <v>20</v>
      </c>
      <c r="C7" s="9"/>
      <c r="D7" s="9"/>
      <c r="E7" s="9"/>
      <c r="F7" s="9"/>
      <c r="G7" s="9"/>
      <c r="H7" s="9"/>
      <c r="I7" s="9"/>
      <c r="J7" s="10">
        <v>392500</v>
      </c>
      <c r="K7" s="13"/>
      <c r="L7" s="9"/>
      <c r="M7" s="9"/>
      <c r="N7" s="9"/>
      <c r="O7" s="9"/>
      <c r="P7" s="10">
        <f>SUM(P3:P6)</f>
        <v>117499</v>
      </c>
      <c r="Q7" s="14"/>
      <c r="R7" s="10">
        <v>150000</v>
      </c>
      <c r="S7" s="10">
        <f>SUM(J7:R7)</f>
        <v>659999</v>
      </c>
    </row>
    <row r="8" spans="1:19" ht="23.5" x14ac:dyDescent="0.55000000000000004">
      <c r="A8" s="27" t="s">
        <v>21</v>
      </c>
      <c r="B8" s="24" t="s">
        <v>22</v>
      </c>
      <c r="C8" s="5" t="s">
        <v>23</v>
      </c>
      <c r="D8" s="5" t="s">
        <v>24</v>
      </c>
      <c r="E8" s="5" t="s">
        <v>25</v>
      </c>
      <c r="F8" s="5">
        <v>277</v>
      </c>
      <c r="G8" s="5">
        <v>240</v>
      </c>
      <c r="H8" s="6">
        <v>1.1499999999999999</v>
      </c>
      <c r="I8" s="5">
        <v>100000</v>
      </c>
      <c r="J8" s="5">
        <v>100000</v>
      </c>
      <c r="K8" s="13"/>
      <c r="L8" s="5">
        <v>110</v>
      </c>
      <c r="M8" s="5">
        <v>120</v>
      </c>
      <c r="N8" s="6">
        <v>0.92</v>
      </c>
      <c r="O8" s="5">
        <v>50000</v>
      </c>
      <c r="P8" s="5">
        <v>45833</v>
      </c>
      <c r="Q8" s="14"/>
      <c r="R8" s="5"/>
      <c r="S8" s="5"/>
    </row>
    <row r="9" spans="1:19" ht="23.5" x14ac:dyDescent="0.55000000000000004">
      <c r="A9" s="27" t="s">
        <v>21</v>
      </c>
      <c r="B9" s="25" t="s">
        <v>22</v>
      </c>
      <c r="C9" s="5" t="s">
        <v>26</v>
      </c>
      <c r="D9" s="5" t="s">
        <v>27</v>
      </c>
      <c r="E9" s="5" t="s">
        <v>28</v>
      </c>
      <c r="F9" s="5">
        <v>238</v>
      </c>
      <c r="G9" s="5">
        <v>240</v>
      </c>
      <c r="H9" s="6">
        <v>0.99</v>
      </c>
      <c r="I9" s="5">
        <v>100000</v>
      </c>
      <c r="J9" s="5">
        <v>99167</v>
      </c>
      <c r="K9" s="13"/>
      <c r="L9" s="5">
        <v>41</v>
      </c>
      <c r="M9" s="5">
        <v>120</v>
      </c>
      <c r="N9" s="6">
        <v>0.34</v>
      </c>
      <c r="O9" s="5">
        <v>50000</v>
      </c>
      <c r="P9" s="5">
        <v>17083</v>
      </c>
      <c r="Q9" s="14"/>
      <c r="R9" s="5"/>
      <c r="S9" s="5"/>
    </row>
    <row r="10" spans="1:19" ht="23.5" x14ac:dyDescent="0.55000000000000004">
      <c r="A10" s="27" t="s">
        <v>21</v>
      </c>
      <c r="B10" s="25" t="s">
        <v>22</v>
      </c>
      <c r="C10" s="5" t="s">
        <v>29</v>
      </c>
      <c r="D10" s="5" t="s">
        <v>30</v>
      </c>
      <c r="E10" s="5">
        <v>778528509</v>
      </c>
      <c r="F10" s="5">
        <v>265</v>
      </c>
      <c r="G10" s="5">
        <v>240</v>
      </c>
      <c r="H10" s="6">
        <v>1.1000000000000001</v>
      </c>
      <c r="I10" s="5">
        <v>100000</v>
      </c>
      <c r="J10" s="5">
        <v>100000</v>
      </c>
      <c r="K10" s="13"/>
      <c r="L10" s="5">
        <v>136</v>
      </c>
      <c r="M10" s="5">
        <v>120</v>
      </c>
      <c r="N10" s="6">
        <v>1.1299999999999999</v>
      </c>
      <c r="O10" s="5">
        <v>50000</v>
      </c>
      <c r="P10" s="5">
        <v>50000</v>
      </c>
      <c r="Q10" s="14"/>
      <c r="R10" s="5"/>
      <c r="S10" s="5"/>
    </row>
    <row r="11" spans="1:19" ht="23.5" x14ac:dyDescent="0.55000000000000004">
      <c r="A11" s="27" t="s">
        <v>21</v>
      </c>
      <c r="B11" s="26" t="s">
        <v>22</v>
      </c>
      <c r="C11" s="5" t="s">
        <v>31</v>
      </c>
      <c r="D11" s="5" t="s">
        <v>32</v>
      </c>
      <c r="E11" s="5">
        <v>787655222</v>
      </c>
      <c r="F11" s="5">
        <v>246</v>
      </c>
      <c r="G11" s="5">
        <v>240</v>
      </c>
      <c r="H11" s="6">
        <v>1.02</v>
      </c>
      <c r="I11" s="5">
        <v>100000</v>
      </c>
      <c r="J11" s="5">
        <v>100000</v>
      </c>
      <c r="K11" s="13"/>
      <c r="L11" s="5">
        <v>74</v>
      </c>
      <c r="M11" s="5">
        <v>120</v>
      </c>
      <c r="N11" s="6">
        <v>0.62</v>
      </c>
      <c r="O11" s="5">
        <v>50000</v>
      </c>
      <c r="P11" s="5">
        <v>30833</v>
      </c>
      <c r="Q11" s="14"/>
      <c r="R11" s="5"/>
      <c r="S11" s="5"/>
    </row>
    <row r="12" spans="1:19" ht="23.5" x14ac:dyDescent="0.55000000000000004">
      <c r="A12" s="7" t="s">
        <v>21</v>
      </c>
      <c r="B12" s="8" t="s">
        <v>20</v>
      </c>
      <c r="C12" s="9"/>
      <c r="D12" s="9"/>
      <c r="E12" s="9"/>
      <c r="F12" s="9"/>
      <c r="G12" s="9"/>
      <c r="H12" s="9"/>
      <c r="I12" s="9"/>
      <c r="J12" s="10">
        <v>399167</v>
      </c>
      <c r="K12" s="13"/>
      <c r="L12" s="9"/>
      <c r="M12" s="9"/>
      <c r="N12" s="9"/>
      <c r="O12" s="9"/>
      <c r="P12" s="10">
        <f>SUM(P8:P11)</f>
        <v>143749</v>
      </c>
      <c r="Q12" s="14"/>
      <c r="R12" s="10">
        <v>150000</v>
      </c>
      <c r="S12" s="10">
        <f>+SUM(J12:R12)</f>
        <v>692916</v>
      </c>
    </row>
    <row r="13" spans="1:19" ht="23.5" x14ac:dyDescent="0.55000000000000004">
      <c r="A13" s="27" t="s">
        <v>33</v>
      </c>
      <c r="B13" s="24" t="s">
        <v>34</v>
      </c>
      <c r="C13" s="5" t="s">
        <v>35</v>
      </c>
      <c r="D13" s="5" t="s">
        <v>32</v>
      </c>
      <c r="E13" s="5" t="s">
        <v>36</v>
      </c>
      <c r="F13" s="5">
        <v>236</v>
      </c>
      <c r="G13" s="5">
        <v>240</v>
      </c>
      <c r="H13" s="6">
        <v>0.98</v>
      </c>
      <c r="I13" s="5">
        <v>100000</v>
      </c>
      <c r="J13" s="5">
        <v>98333</v>
      </c>
      <c r="K13" s="13"/>
      <c r="L13" s="5">
        <v>29</v>
      </c>
      <c r="M13" s="5">
        <v>120</v>
      </c>
      <c r="N13" s="6">
        <v>0.24</v>
      </c>
      <c r="O13" s="5">
        <v>50000</v>
      </c>
      <c r="P13" s="5">
        <v>12083</v>
      </c>
      <c r="Q13" s="14"/>
      <c r="R13" s="5"/>
      <c r="S13" s="5"/>
    </row>
    <row r="14" spans="1:19" ht="23.5" x14ac:dyDescent="0.55000000000000004">
      <c r="A14" s="27" t="s">
        <v>33</v>
      </c>
      <c r="B14" s="25" t="s">
        <v>34</v>
      </c>
      <c r="C14" s="5" t="s">
        <v>37</v>
      </c>
      <c r="D14" s="5" t="s">
        <v>38</v>
      </c>
      <c r="E14" s="5"/>
      <c r="F14" s="5">
        <v>247</v>
      </c>
      <c r="G14" s="5">
        <v>240</v>
      </c>
      <c r="H14" s="6">
        <v>1.03</v>
      </c>
      <c r="I14" s="5">
        <v>100000</v>
      </c>
      <c r="J14" s="5">
        <v>100000</v>
      </c>
      <c r="K14" s="13"/>
      <c r="L14" s="5">
        <v>20</v>
      </c>
      <c r="M14" s="5">
        <v>120</v>
      </c>
      <c r="N14" s="6">
        <v>0.17</v>
      </c>
      <c r="O14" s="5">
        <v>50000</v>
      </c>
      <c r="P14" s="5">
        <v>8333</v>
      </c>
      <c r="Q14" s="14"/>
      <c r="R14" s="5"/>
      <c r="S14" s="5"/>
    </row>
    <row r="15" spans="1:19" ht="23.5" x14ac:dyDescent="0.55000000000000004">
      <c r="A15" s="27" t="s">
        <v>33</v>
      </c>
      <c r="B15" s="25" t="s">
        <v>34</v>
      </c>
      <c r="C15" s="5" t="s">
        <v>39</v>
      </c>
      <c r="D15" s="5" t="s">
        <v>40</v>
      </c>
      <c r="E15" s="5" t="s">
        <v>41</v>
      </c>
      <c r="F15" s="5">
        <v>235</v>
      </c>
      <c r="G15" s="5">
        <v>240</v>
      </c>
      <c r="H15" s="6">
        <v>0.98</v>
      </c>
      <c r="I15" s="5">
        <v>100000</v>
      </c>
      <c r="J15" s="5">
        <v>97917</v>
      </c>
      <c r="K15" s="13"/>
      <c r="L15" s="5">
        <v>69</v>
      </c>
      <c r="M15" s="5">
        <v>120</v>
      </c>
      <c r="N15" s="6">
        <v>0.56999999999999995</v>
      </c>
      <c r="O15" s="5">
        <v>50000</v>
      </c>
      <c r="P15" s="5">
        <v>28750</v>
      </c>
      <c r="Q15" s="14"/>
      <c r="R15" s="5"/>
      <c r="S15" s="5"/>
    </row>
    <row r="16" spans="1:19" ht="23.5" x14ac:dyDescent="0.55000000000000004">
      <c r="A16" s="27" t="s">
        <v>33</v>
      </c>
      <c r="B16" s="26" t="s">
        <v>34</v>
      </c>
      <c r="C16" s="5" t="s">
        <v>42</v>
      </c>
      <c r="D16" s="5" t="s">
        <v>43</v>
      </c>
      <c r="E16" s="5" t="s">
        <v>44</v>
      </c>
      <c r="F16" s="5">
        <v>182</v>
      </c>
      <c r="G16" s="5">
        <v>240</v>
      </c>
      <c r="H16" s="6">
        <v>0.76</v>
      </c>
      <c r="I16" s="5">
        <v>100000</v>
      </c>
      <c r="J16" s="5">
        <v>75833</v>
      </c>
      <c r="K16" s="13"/>
      <c r="L16" s="5">
        <v>14</v>
      </c>
      <c r="M16" s="5">
        <v>120</v>
      </c>
      <c r="N16" s="6">
        <v>0.12</v>
      </c>
      <c r="O16" s="5">
        <v>50000</v>
      </c>
      <c r="P16" s="5">
        <v>5833</v>
      </c>
      <c r="Q16" s="14"/>
      <c r="R16" s="5"/>
      <c r="S16" s="5"/>
    </row>
    <row r="17" spans="1:19" ht="23.5" x14ac:dyDescent="0.55000000000000004">
      <c r="A17" s="7" t="s">
        <v>33</v>
      </c>
      <c r="B17" s="8" t="s">
        <v>20</v>
      </c>
      <c r="C17" s="9"/>
      <c r="D17" s="9"/>
      <c r="E17" s="9"/>
      <c r="F17" s="9"/>
      <c r="G17" s="9"/>
      <c r="H17" s="9"/>
      <c r="I17" s="9"/>
      <c r="J17" s="10">
        <v>372083</v>
      </c>
      <c r="K17" s="13"/>
      <c r="L17" s="9"/>
      <c r="M17" s="9"/>
      <c r="N17" s="9"/>
      <c r="O17" s="9"/>
      <c r="P17" s="10">
        <f>SUM(P13:P16)</f>
        <v>54999</v>
      </c>
      <c r="Q17" s="14"/>
      <c r="R17" s="10">
        <v>150000</v>
      </c>
      <c r="S17" s="10">
        <f>+SUM(J17:R17)</f>
        <v>577082</v>
      </c>
    </row>
    <row r="18" spans="1:19" ht="23.5" x14ac:dyDescent="0.55000000000000004">
      <c r="A18" s="27" t="s">
        <v>45</v>
      </c>
      <c r="B18" s="24" t="s">
        <v>46</v>
      </c>
      <c r="C18" s="5" t="s">
        <v>47</v>
      </c>
      <c r="D18" s="5" t="s">
        <v>48</v>
      </c>
      <c r="E18" s="5">
        <v>775810336</v>
      </c>
      <c r="F18" s="5">
        <v>198</v>
      </c>
      <c r="G18" s="5">
        <v>240</v>
      </c>
      <c r="H18" s="6">
        <v>0.82</v>
      </c>
      <c r="I18" s="5">
        <v>100000</v>
      </c>
      <c r="J18" s="5">
        <v>82500</v>
      </c>
      <c r="K18" s="13"/>
      <c r="L18" s="5">
        <v>0</v>
      </c>
      <c r="M18" s="5">
        <v>120</v>
      </c>
      <c r="N18" s="6">
        <v>0</v>
      </c>
      <c r="O18" s="5">
        <v>50000</v>
      </c>
      <c r="P18" s="5">
        <v>0</v>
      </c>
      <c r="Q18" s="14"/>
      <c r="R18" s="5"/>
      <c r="S18" s="5"/>
    </row>
    <row r="19" spans="1:19" ht="23.5" x14ac:dyDescent="0.55000000000000004">
      <c r="A19" s="27" t="s">
        <v>45</v>
      </c>
      <c r="B19" s="25" t="s">
        <v>46</v>
      </c>
      <c r="C19" s="5" t="s">
        <v>49</v>
      </c>
      <c r="D19" s="5" t="s">
        <v>50</v>
      </c>
      <c r="E19" s="5">
        <v>778525987</v>
      </c>
      <c r="F19" s="5">
        <v>201</v>
      </c>
      <c r="G19" s="5">
        <v>240</v>
      </c>
      <c r="H19" s="6">
        <v>0.84</v>
      </c>
      <c r="I19" s="5">
        <v>100000</v>
      </c>
      <c r="J19" s="5">
        <v>83750</v>
      </c>
      <c r="K19" s="13"/>
      <c r="L19" s="5">
        <v>4</v>
      </c>
      <c r="M19" s="5">
        <v>120</v>
      </c>
      <c r="N19" s="6">
        <v>0.03</v>
      </c>
      <c r="O19" s="5">
        <v>50000</v>
      </c>
      <c r="P19" s="5">
        <v>1667</v>
      </c>
      <c r="Q19" s="14"/>
      <c r="R19" s="5"/>
      <c r="S19" s="5"/>
    </row>
    <row r="20" spans="1:19" ht="23.5" x14ac:dyDescent="0.55000000000000004">
      <c r="A20" s="27" t="s">
        <v>45</v>
      </c>
      <c r="B20" s="25" t="s">
        <v>46</v>
      </c>
      <c r="C20" s="5" t="s">
        <v>49</v>
      </c>
      <c r="D20" s="5" t="s">
        <v>51</v>
      </c>
      <c r="E20" s="5">
        <v>772104981</v>
      </c>
      <c r="F20" s="5">
        <v>274</v>
      </c>
      <c r="G20" s="5">
        <v>240</v>
      </c>
      <c r="H20" s="6">
        <v>1.1399999999999999</v>
      </c>
      <c r="I20" s="5">
        <v>100000</v>
      </c>
      <c r="J20" s="5">
        <v>100000</v>
      </c>
      <c r="K20" s="13"/>
      <c r="L20" s="5">
        <v>1</v>
      </c>
      <c r="M20" s="5">
        <v>120</v>
      </c>
      <c r="N20" s="6">
        <v>0.01</v>
      </c>
      <c r="O20" s="5">
        <v>50000</v>
      </c>
      <c r="P20" s="5">
        <v>417</v>
      </c>
      <c r="Q20" s="14"/>
      <c r="R20" s="5"/>
      <c r="S20" s="5"/>
    </row>
    <row r="21" spans="1:19" ht="23.5" x14ac:dyDescent="0.55000000000000004">
      <c r="A21" s="27" t="s">
        <v>45</v>
      </c>
      <c r="B21" s="26" t="s">
        <v>46</v>
      </c>
      <c r="C21" s="5" t="s">
        <v>52</v>
      </c>
      <c r="D21" s="5" t="s">
        <v>53</v>
      </c>
      <c r="E21" s="5">
        <v>772107591</v>
      </c>
      <c r="F21" s="5">
        <v>297</v>
      </c>
      <c r="G21" s="5">
        <v>240</v>
      </c>
      <c r="H21" s="6">
        <v>1.24</v>
      </c>
      <c r="I21" s="5">
        <v>100000</v>
      </c>
      <c r="J21" s="5">
        <v>100000</v>
      </c>
      <c r="K21" s="13"/>
      <c r="L21" s="5">
        <v>2</v>
      </c>
      <c r="M21" s="5">
        <v>120</v>
      </c>
      <c r="N21" s="6">
        <v>0.02</v>
      </c>
      <c r="O21" s="5">
        <v>50000</v>
      </c>
      <c r="P21" s="5">
        <v>833</v>
      </c>
      <c r="Q21" s="14"/>
      <c r="R21" s="5"/>
      <c r="S21" s="5"/>
    </row>
    <row r="22" spans="1:19" ht="23.5" x14ac:dyDescent="0.55000000000000004">
      <c r="A22" s="7" t="s">
        <v>45</v>
      </c>
      <c r="B22" s="8" t="s">
        <v>20</v>
      </c>
      <c r="C22" s="9"/>
      <c r="D22" s="9"/>
      <c r="E22" s="9"/>
      <c r="F22" s="9"/>
      <c r="G22" s="9"/>
      <c r="H22" s="9"/>
      <c r="I22" s="9"/>
      <c r="J22" s="10">
        <v>366250</v>
      </c>
      <c r="K22" s="13"/>
      <c r="L22" s="9"/>
      <c r="M22" s="9"/>
      <c r="N22" s="9"/>
      <c r="O22" s="9"/>
      <c r="P22" s="10">
        <f>SUM(P18:P21)</f>
        <v>2917</v>
      </c>
      <c r="Q22" s="14"/>
      <c r="R22" s="10">
        <v>150000</v>
      </c>
      <c r="S22" s="10">
        <f>+SUM(J22:R22)</f>
        <v>519167</v>
      </c>
    </row>
    <row r="23" spans="1:19" ht="23.5" x14ac:dyDescent="0.55000000000000004">
      <c r="A23" s="27" t="s">
        <v>54</v>
      </c>
      <c r="B23" s="24" t="s">
        <v>55</v>
      </c>
      <c r="C23" s="5" t="s">
        <v>56</v>
      </c>
      <c r="D23" s="5" t="s">
        <v>57</v>
      </c>
      <c r="E23" s="5">
        <v>782989910</v>
      </c>
      <c r="F23" s="5">
        <v>303</v>
      </c>
      <c r="G23" s="5">
        <v>240</v>
      </c>
      <c r="H23" s="6">
        <v>1.26</v>
      </c>
      <c r="I23" s="5">
        <v>100000</v>
      </c>
      <c r="J23" s="5">
        <v>100000</v>
      </c>
      <c r="K23" s="13"/>
      <c r="L23" s="5">
        <v>93</v>
      </c>
      <c r="M23" s="5">
        <v>120</v>
      </c>
      <c r="N23" s="6">
        <v>0.78</v>
      </c>
      <c r="O23" s="5">
        <v>50000</v>
      </c>
      <c r="P23" s="5">
        <v>38750</v>
      </c>
      <c r="Q23" s="14"/>
      <c r="R23" s="5"/>
      <c r="S23" s="5"/>
    </row>
    <row r="24" spans="1:19" ht="23.5" x14ac:dyDescent="0.55000000000000004">
      <c r="A24" s="27" t="s">
        <v>54</v>
      </c>
      <c r="B24" s="25" t="s">
        <v>55</v>
      </c>
      <c r="C24" s="5" t="s">
        <v>58</v>
      </c>
      <c r="D24" s="5" t="s">
        <v>59</v>
      </c>
      <c r="E24" s="5">
        <v>787095594</v>
      </c>
      <c r="F24" s="5">
        <v>285</v>
      </c>
      <c r="G24" s="5">
        <v>240</v>
      </c>
      <c r="H24" s="6">
        <v>1.19</v>
      </c>
      <c r="I24" s="5">
        <v>100000</v>
      </c>
      <c r="J24" s="5">
        <v>100000</v>
      </c>
      <c r="K24" s="13"/>
      <c r="L24" s="5">
        <v>26</v>
      </c>
      <c r="M24" s="5">
        <v>120</v>
      </c>
      <c r="N24" s="6">
        <v>0.22</v>
      </c>
      <c r="O24" s="5">
        <v>50000</v>
      </c>
      <c r="P24" s="5">
        <v>10833</v>
      </c>
      <c r="Q24" s="14"/>
      <c r="R24" s="5"/>
      <c r="S24" s="5"/>
    </row>
    <row r="25" spans="1:19" ht="23.5" x14ac:dyDescent="0.55000000000000004">
      <c r="A25" s="27" t="s">
        <v>54</v>
      </c>
      <c r="B25" s="25" t="s">
        <v>55</v>
      </c>
      <c r="C25" s="5" t="s">
        <v>60</v>
      </c>
      <c r="D25" s="5" t="s">
        <v>61</v>
      </c>
      <c r="E25" s="5">
        <v>781180981</v>
      </c>
      <c r="F25" s="5">
        <v>302</v>
      </c>
      <c r="G25" s="5">
        <v>240</v>
      </c>
      <c r="H25" s="6">
        <v>1.26</v>
      </c>
      <c r="I25" s="5">
        <v>100000</v>
      </c>
      <c r="J25" s="5">
        <v>100000</v>
      </c>
      <c r="K25" s="13"/>
      <c r="L25" s="5">
        <v>13</v>
      </c>
      <c r="M25" s="5">
        <v>120</v>
      </c>
      <c r="N25" s="6">
        <v>0.11</v>
      </c>
      <c r="O25" s="5">
        <v>50000</v>
      </c>
      <c r="P25" s="5">
        <v>5417</v>
      </c>
      <c r="Q25" s="14"/>
      <c r="R25" s="5"/>
      <c r="S25" s="5"/>
    </row>
    <row r="26" spans="1:19" ht="23.5" x14ac:dyDescent="0.55000000000000004">
      <c r="A26" s="27" t="s">
        <v>54</v>
      </c>
      <c r="B26" s="26" t="s">
        <v>55</v>
      </c>
      <c r="C26" s="5" t="s">
        <v>62</v>
      </c>
      <c r="D26" s="5" t="s">
        <v>63</v>
      </c>
      <c r="E26" s="5">
        <v>787095584</v>
      </c>
      <c r="F26" s="5">
        <v>267</v>
      </c>
      <c r="G26" s="5">
        <v>240</v>
      </c>
      <c r="H26" s="6">
        <v>1.1100000000000001</v>
      </c>
      <c r="I26" s="5">
        <v>100000</v>
      </c>
      <c r="J26" s="5">
        <v>100000</v>
      </c>
      <c r="K26" s="13"/>
      <c r="L26" s="5">
        <v>3</v>
      </c>
      <c r="M26" s="5">
        <v>120</v>
      </c>
      <c r="N26" s="6">
        <v>0.02</v>
      </c>
      <c r="O26" s="5">
        <v>50000</v>
      </c>
      <c r="P26" s="5">
        <v>1250</v>
      </c>
      <c r="Q26" s="14"/>
      <c r="R26" s="5"/>
      <c r="S26" s="5"/>
    </row>
    <row r="27" spans="1:19" ht="23.5" x14ac:dyDescent="0.55000000000000004">
      <c r="A27" s="7" t="s">
        <v>54</v>
      </c>
      <c r="B27" s="8" t="s">
        <v>20</v>
      </c>
      <c r="C27" s="9"/>
      <c r="D27" s="9"/>
      <c r="E27" s="9"/>
      <c r="F27" s="9"/>
      <c r="G27" s="9"/>
      <c r="H27" s="9"/>
      <c r="I27" s="9"/>
      <c r="J27" s="10">
        <v>400000</v>
      </c>
      <c r="K27" s="13"/>
      <c r="L27" s="9"/>
      <c r="M27" s="9"/>
      <c r="N27" s="9"/>
      <c r="O27" s="9"/>
      <c r="P27" s="10">
        <f>SUM(P23:P26)</f>
        <v>56250</v>
      </c>
      <c r="Q27" s="14"/>
      <c r="R27" s="10">
        <v>150000</v>
      </c>
      <c r="S27" s="10">
        <f>+SUM(J27:R27)</f>
        <v>606250</v>
      </c>
    </row>
    <row r="28" spans="1:19" ht="23.5" x14ac:dyDescent="0.55000000000000004">
      <c r="A28" s="27" t="s">
        <v>64</v>
      </c>
      <c r="B28" s="24" t="s">
        <v>65</v>
      </c>
      <c r="C28" s="5" t="s">
        <v>23</v>
      </c>
      <c r="D28" s="5" t="s">
        <v>32</v>
      </c>
      <c r="E28" s="5" t="s">
        <v>66</v>
      </c>
      <c r="F28" s="5">
        <v>192</v>
      </c>
      <c r="G28" s="5">
        <v>240</v>
      </c>
      <c r="H28" s="6">
        <v>0.8</v>
      </c>
      <c r="I28" s="5">
        <v>100000</v>
      </c>
      <c r="J28" s="5">
        <v>80000</v>
      </c>
      <c r="K28" s="13"/>
      <c r="L28" s="5">
        <v>3</v>
      </c>
      <c r="M28" s="5">
        <v>120</v>
      </c>
      <c r="N28" s="6">
        <v>0.02</v>
      </c>
      <c r="O28" s="5">
        <v>50000</v>
      </c>
      <c r="P28" s="5">
        <v>1250</v>
      </c>
      <c r="Q28" s="14"/>
      <c r="R28" s="17"/>
      <c r="S28" s="17"/>
    </row>
    <row r="29" spans="1:19" ht="23.5" x14ac:dyDescent="0.55000000000000004">
      <c r="A29" s="27" t="s">
        <v>64</v>
      </c>
      <c r="B29" s="25" t="s">
        <v>65</v>
      </c>
      <c r="C29" s="5" t="s">
        <v>67</v>
      </c>
      <c r="D29" s="5" t="s">
        <v>15</v>
      </c>
      <c r="E29" s="5" t="s">
        <v>68</v>
      </c>
      <c r="F29" s="5">
        <v>160</v>
      </c>
      <c r="G29" s="5">
        <v>240</v>
      </c>
      <c r="H29" s="6">
        <v>0.67</v>
      </c>
      <c r="I29" s="5">
        <v>100000</v>
      </c>
      <c r="J29" s="5">
        <v>66667</v>
      </c>
      <c r="K29" s="13"/>
      <c r="L29" s="5">
        <v>1</v>
      </c>
      <c r="M29" s="5">
        <v>120</v>
      </c>
      <c r="N29" s="6">
        <v>0.01</v>
      </c>
      <c r="O29" s="5">
        <v>50000</v>
      </c>
      <c r="P29" s="5">
        <v>417</v>
      </c>
      <c r="Q29" s="14"/>
      <c r="R29" s="5"/>
      <c r="S29" s="5"/>
    </row>
    <row r="30" spans="1:19" ht="23.5" x14ac:dyDescent="0.55000000000000004">
      <c r="A30" s="27" t="s">
        <v>64</v>
      </c>
      <c r="B30" s="25" t="s">
        <v>65</v>
      </c>
      <c r="C30" s="5" t="s">
        <v>69</v>
      </c>
      <c r="D30" s="5" t="s">
        <v>70</v>
      </c>
      <c r="E30" s="5" t="s">
        <v>71</v>
      </c>
      <c r="F30" s="5">
        <v>106</v>
      </c>
      <c r="G30" s="5">
        <v>240</v>
      </c>
      <c r="H30" s="6">
        <v>0.44</v>
      </c>
      <c r="I30" s="5">
        <v>100000</v>
      </c>
      <c r="J30" s="5">
        <v>44167</v>
      </c>
      <c r="K30" s="13"/>
      <c r="L30" s="5">
        <v>0</v>
      </c>
      <c r="M30" s="5">
        <v>120</v>
      </c>
      <c r="N30" s="6">
        <v>0</v>
      </c>
      <c r="O30" s="5">
        <v>50000</v>
      </c>
      <c r="P30" s="5">
        <v>0</v>
      </c>
      <c r="Q30" s="14"/>
      <c r="R30" s="5"/>
      <c r="S30" s="5"/>
    </row>
    <row r="31" spans="1:19" ht="23.5" x14ac:dyDescent="0.55000000000000004">
      <c r="A31" s="27" t="s">
        <v>64</v>
      </c>
      <c r="B31" s="26" t="s">
        <v>65</v>
      </c>
      <c r="C31" s="5" t="s">
        <v>72</v>
      </c>
      <c r="D31" s="5" t="s">
        <v>53</v>
      </c>
      <c r="E31" s="5"/>
      <c r="F31" s="5">
        <v>191</v>
      </c>
      <c r="G31" s="5">
        <v>240</v>
      </c>
      <c r="H31" s="6">
        <v>0.8</v>
      </c>
      <c r="I31" s="5">
        <v>100000</v>
      </c>
      <c r="J31" s="5">
        <v>79583</v>
      </c>
      <c r="K31" s="13"/>
      <c r="L31" s="5">
        <v>2</v>
      </c>
      <c r="M31" s="5">
        <v>120</v>
      </c>
      <c r="N31" s="6">
        <v>0.02</v>
      </c>
      <c r="O31" s="5">
        <v>50000</v>
      </c>
      <c r="P31" s="5">
        <v>833</v>
      </c>
      <c r="Q31" s="14"/>
      <c r="R31" s="5"/>
      <c r="S31" s="5"/>
    </row>
    <row r="32" spans="1:19" ht="23.5" x14ac:dyDescent="0.55000000000000004">
      <c r="A32" s="7" t="s">
        <v>64</v>
      </c>
      <c r="B32" s="8" t="s">
        <v>20</v>
      </c>
      <c r="C32" s="9"/>
      <c r="D32" s="9"/>
      <c r="E32" s="9"/>
      <c r="F32" s="9"/>
      <c r="G32" s="9"/>
      <c r="H32" s="9"/>
      <c r="I32" s="9"/>
      <c r="J32" s="10">
        <v>270417</v>
      </c>
      <c r="K32" s="13"/>
      <c r="L32" s="9"/>
      <c r="M32" s="9"/>
      <c r="N32" s="9"/>
      <c r="O32" s="9"/>
      <c r="P32" s="10">
        <f>SUM(P28:P31)</f>
        <v>2500</v>
      </c>
      <c r="Q32" s="14"/>
      <c r="R32" s="10">
        <v>150000</v>
      </c>
      <c r="S32" s="10">
        <f>+SUM(J32:R32)</f>
        <v>422917</v>
      </c>
    </row>
    <row r="33" spans="11:19" ht="18.5" x14ac:dyDescent="0.45">
      <c r="K33" s="13"/>
      <c r="L33" s="21" t="s">
        <v>79</v>
      </c>
      <c r="M33" s="21"/>
      <c r="N33" s="21"/>
      <c r="O33" s="21"/>
      <c r="P33" s="21"/>
      <c r="Q33" s="13"/>
      <c r="R33" s="21">
        <f>+SUM(S7:S32)</f>
        <v>3478331</v>
      </c>
      <c r="S33" s="21"/>
    </row>
  </sheetData>
  <mergeCells count="16">
    <mergeCell ref="A28:A31"/>
    <mergeCell ref="A3:A6"/>
    <mergeCell ref="A8:A11"/>
    <mergeCell ref="A13:A16"/>
    <mergeCell ref="A18:A21"/>
    <mergeCell ref="A23:A26"/>
    <mergeCell ref="L33:P33"/>
    <mergeCell ref="R33:S33"/>
    <mergeCell ref="F1:J1"/>
    <mergeCell ref="L1:P1"/>
    <mergeCell ref="B3:B6"/>
    <mergeCell ref="B8:B11"/>
    <mergeCell ref="B13:B16"/>
    <mergeCell ref="B18:B21"/>
    <mergeCell ref="B23:B26"/>
    <mergeCell ref="B28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36" workbookViewId="0">
      <selection activeCell="A2" sqref="A2:C7"/>
    </sheetView>
  </sheetViews>
  <sheetFormatPr baseColWidth="10" defaultColWidth="8.7265625" defaultRowHeight="14.5" x14ac:dyDescent="0.35"/>
  <cols>
    <col min="1" max="1" width="10.08984375" bestFit="1" customWidth="1"/>
    <col min="2" max="2" width="58.90625" bestFit="1" customWidth="1"/>
    <col min="3" max="3" width="14.453125" bestFit="1" customWidth="1"/>
    <col min="4" max="4" width="38.08984375" bestFit="1" customWidth="1"/>
    <col min="5" max="5" width="13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80</v>
      </c>
      <c r="D1" s="1" t="s">
        <v>87</v>
      </c>
      <c r="E1" s="1" t="s">
        <v>73</v>
      </c>
      <c r="F1" s="1" t="s">
        <v>88</v>
      </c>
    </row>
    <row r="2" spans="1:6" x14ac:dyDescent="0.35">
      <c r="A2" s="18" t="s">
        <v>81</v>
      </c>
      <c r="B2" s="11" t="s">
        <v>11</v>
      </c>
      <c r="C2" s="11">
        <v>775499999</v>
      </c>
      <c r="D2" s="12">
        <v>655999</v>
      </c>
      <c r="E2" s="19">
        <f t="shared" ref="E2:E7" si="0">+D2*0.05</f>
        <v>32799.950000000004</v>
      </c>
      <c r="F2" s="19">
        <f t="shared" ref="F2:F7" si="1">SUM(D2:E2)</f>
        <v>688798.95</v>
      </c>
    </row>
    <row r="3" spans="1:6" x14ac:dyDescent="0.35">
      <c r="A3" s="18" t="s">
        <v>82</v>
      </c>
      <c r="B3" s="11" t="s">
        <v>22</v>
      </c>
      <c r="C3" s="11">
        <v>776247047</v>
      </c>
      <c r="D3" s="12">
        <v>692916</v>
      </c>
      <c r="E3" s="19">
        <f t="shared" si="0"/>
        <v>34645.800000000003</v>
      </c>
      <c r="F3" s="19">
        <f t="shared" si="1"/>
        <v>727561.8</v>
      </c>
    </row>
    <row r="4" spans="1:6" x14ac:dyDescent="0.35">
      <c r="A4" s="18" t="s">
        <v>83</v>
      </c>
      <c r="B4" s="11" t="s">
        <v>34</v>
      </c>
      <c r="C4" s="11">
        <v>775499999</v>
      </c>
      <c r="D4" s="12">
        <v>577082</v>
      </c>
      <c r="E4" s="19">
        <f t="shared" si="0"/>
        <v>28854.100000000002</v>
      </c>
      <c r="F4" s="19">
        <f t="shared" si="1"/>
        <v>605936.1</v>
      </c>
    </row>
    <row r="5" spans="1:6" x14ac:dyDescent="0.35">
      <c r="A5" s="18" t="s">
        <v>84</v>
      </c>
      <c r="B5" s="11" t="s">
        <v>46</v>
      </c>
      <c r="C5" s="11">
        <v>773316647</v>
      </c>
      <c r="D5" s="12">
        <v>519167</v>
      </c>
      <c r="E5" s="19">
        <f t="shared" si="0"/>
        <v>25958.350000000002</v>
      </c>
      <c r="F5" s="19">
        <f t="shared" si="1"/>
        <v>545125.35</v>
      </c>
    </row>
    <row r="6" spans="1:6" x14ac:dyDescent="0.35">
      <c r="A6" s="18" t="s">
        <v>54</v>
      </c>
      <c r="B6" s="11" t="s">
        <v>55</v>
      </c>
      <c r="C6" s="11">
        <v>774981290</v>
      </c>
      <c r="D6" s="12">
        <v>606250</v>
      </c>
      <c r="E6" s="19">
        <f t="shared" si="0"/>
        <v>30312.5</v>
      </c>
      <c r="F6" s="19">
        <f t="shared" si="1"/>
        <v>636562.5</v>
      </c>
    </row>
    <row r="7" spans="1:6" x14ac:dyDescent="0.35">
      <c r="A7" s="18" t="s">
        <v>85</v>
      </c>
      <c r="B7" s="11" t="s">
        <v>65</v>
      </c>
      <c r="C7" s="11">
        <v>774317541</v>
      </c>
      <c r="D7" s="12">
        <v>422917</v>
      </c>
      <c r="E7" s="19">
        <f t="shared" si="0"/>
        <v>21145.850000000002</v>
      </c>
      <c r="F7" s="19">
        <f t="shared" si="1"/>
        <v>444062.85</v>
      </c>
    </row>
    <row r="8" spans="1:6" x14ac:dyDescent="0.35">
      <c r="B8" s="28" t="s">
        <v>86</v>
      </c>
      <c r="C8" s="29"/>
      <c r="D8" s="10">
        <f>SUM(D2:D7)</f>
        <v>3474331</v>
      </c>
      <c r="E8" s="20">
        <f>SUM(E2:E7)</f>
        <v>173716.55000000002</v>
      </c>
      <c r="F8" s="20">
        <f>SUM(F2:F7)</f>
        <v>3648047.5500000003</v>
      </c>
    </row>
  </sheetData>
  <mergeCells count="1">
    <mergeCell ref="B8:C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DETAILS PAIEMENT AOUT VTO</vt:lpstr>
      <vt:lpstr>PAIEMENT PAR 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2025-09-02T09:35:36Z</dcterms:created>
  <dcterms:modified xsi:type="dcterms:W3CDTF">2025-09-09T10:22:05Z</dcterms:modified>
</cp:coreProperties>
</file>